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/>
  <bookViews>
    <workbookView xWindow="0" yWindow="0" windowWidth="20490" windowHeight="9195" tabRatio="829"/>
  </bookViews>
  <sheets>
    <sheet name="Plano" sheetId="55" r:id="rId1"/>
    <sheet name="FMEA" sheetId="56" r:id="rId2"/>
    <sheet name="Matriz de Prioridade" sheetId="58" r:id="rId3"/>
    <sheet name="Tabela de Priorização" sheetId="63" state="hidden" r:id="rId4"/>
    <sheet name="Auxiliar" sheetId="61" state="hidden" r:id="rId5"/>
    <sheet name="AC" sheetId="57" r:id="rId6"/>
    <sheet name="Rel" sheetId="59" r:id="rId7"/>
    <sheet name="Rel_AC" sheetId="62" r:id="rId8"/>
    <sheet name="Dash" sheetId="60" r:id="rId9"/>
    <sheet name="Histórico de Falhas" sheetId="64" r:id="rId10"/>
  </sheets>
  <definedNames>
    <definedName name="_xlnm._FilterDatabase" localSheetId="5" hidden="1">AC!$C$4:$J$54</definedName>
    <definedName name="_xlnm._FilterDatabase" localSheetId="4" hidden="1">Auxiliar!$A$5:$E$430</definedName>
    <definedName name="_xlnm._FilterDatabase" localSheetId="1" hidden="1">FMEA!$C$4:$K$4</definedName>
    <definedName name="_xlnm.Print_Area" localSheetId="5">AC!$C$4:$J$54</definedName>
    <definedName name="_xlnm.Print_Area" localSheetId="8">Dash!$C$4:$O$11</definedName>
    <definedName name="_xlnm.Print_Area" localSheetId="1">FMEA!$C$4:$K$54</definedName>
    <definedName name="_xlnm.Print_Area" localSheetId="2">'Matriz de Prioridade'!$C$4:$N$17</definedName>
    <definedName name="_xlnm.Print_Area" localSheetId="6">Rel!$C$4:$J$9</definedName>
    <definedName name="_xlnm.Print_Area" localSheetId="7">Rel_AC!$C$4:$P$14</definedName>
  </definedNames>
  <calcPr calcId="125725"/>
  <pivotCaches>
    <pivotCache cacheId="70" r:id="rId11"/>
  </pivotCaches>
  <fileRecoveryPr autoRecover="0"/>
</workbook>
</file>

<file path=xl/calcChain.xml><?xml version="1.0" encoding="utf-8"?>
<calcChain xmlns="http://schemas.openxmlformats.org/spreadsheetml/2006/main">
  <c r="N301" i="64"/>
  <c r="M301"/>
  <c r="L301"/>
  <c r="K301"/>
  <c r="J301"/>
  <c r="I301"/>
  <c r="H301"/>
  <c r="G301"/>
  <c r="F301"/>
  <c r="E301"/>
  <c r="D301"/>
  <c r="C301"/>
  <c r="B301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8"/>
  <c r="D8" i="60"/>
  <c r="E6" i="59"/>
  <c r="E2" i="61"/>
  <c r="J6" i="56" a="1"/>
  <c r="J6" s="1"/>
  <c r="J7" a="1"/>
  <c r="J7" s="1"/>
  <c r="J8" a="1"/>
  <c r="J8" s="1"/>
  <c r="J9" a="1"/>
  <c r="J9" s="1"/>
  <c r="J5" a="1"/>
  <c r="J5" s="1"/>
  <c r="D7" i="61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6"/>
  <c r="G2"/>
  <c r="F2"/>
  <c r="D2"/>
  <c r="I6" i="56"/>
  <c r="I7"/>
  <c r="I8"/>
  <c r="I9"/>
  <c r="J26"/>
  <c r="J30"/>
  <c r="J34"/>
  <c r="J38"/>
  <c r="J42"/>
  <c r="J46"/>
  <c r="J50"/>
  <c r="J54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6"/>
  <c r="B7"/>
  <c r="B8"/>
  <c r="B9"/>
  <c r="B6" i="59"/>
  <c r="F6" s="1"/>
  <c r="B7"/>
  <c r="F7" s="1"/>
  <c r="B8"/>
  <c r="F8" s="1"/>
  <c r="B9"/>
  <c r="F9" s="1"/>
  <c r="B5"/>
  <c r="F5" s="1"/>
  <c r="E9"/>
  <c r="E8"/>
  <c r="E7"/>
  <c r="E5"/>
  <c r="D9"/>
  <c r="D8"/>
  <c r="D7"/>
  <c r="D6"/>
  <c r="D5"/>
  <c r="C9"/>
  <c r="C8"/>
  <c r="C7"/>
  <c r="C6"/>
  <c r="C5"/>
  <c r="G3" i="57"/>
  <c r="J6" s="1"/>
  <c r="I5" i="56"/>
  <c r="N5" s="1"/>
  <c r="I6" i="57"/>
  <c r="I7"/>
  <c r="I8"/>
  <c r="I9"/>
  <c r="I5"/>
  <c r="B5" i="56"/>
  <c r="N6"/>
  <c r="F8" i="60"/>
  <c r="F9"/>
  <c r="F10"/>
  <c r="F11"/>
  <c r="K9" i="57"/>
  <c r="O6" i="56"/>
  <c r="K10" i="57"/>
  <c r="K11"/>
  <c r="K5"/>
  <c r="K6"/>
  <c r="K7"/>
  <c r="K8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D5" i="62"/>
  <c r="E5"/>
  <c r="F5"/>
  <c r="G5"/>
  <c r="H5"/>
  <c r="I5"/>
  <c r="J5"/>
  <c r="K5"/>
  <c r="L5"/>
  <c r="M5"/>
  <c r="O5"/>
  <c r="D6"/>
  <c r="E6"/>
  <c r="F6"/>
  <c r="G6"/>
  <c r="H6"/>
  <c r="I6"/>
  <c r="J6"/>
  <c r="K6"/>
  <c r="L6"/>
  <c r="M6"/>
  <c r="O6"/>
  <c r="D7"/>
  <c r="E7"/>
  <c r="F7"/>
  <c r="G7"/>
  <c r="H7"/>
  <c r="I7"/>
  <c r="J7"/>
  <c r="K7"/>
  <c r="L7"/>
  <c r="M7"/>
  <c r="O7"/>
  <c r="D8"/>
  <c r="E8"/>
  <c r="F8"/>
  <c r="G8"/>
  <c r="H8"/>
  <c r="I8"/>
  <c r="J8"/>
  <c r="K8"/>
  <c r="L8"/>
  <c r="M8"/>
  <c r="O8"/>
  <c r="H6" i="57"/>
  <c r="H5"/>
  <c r="J22" i="56" l="1"/>
  <c r="J18"/>
  <c r="J14"/>
  <c r="J10"/>
  <c r="J51"/>
  <c r="J47"/>
  <c r="J43"/>
  <c r="J39"/>
  <c r="J35"/>
  <c r="J31"/>
  <c r="J27"/>
  <c r="J23"/>
  <c r="J19"/>
  <c r="J15"/>
  <c r="J11"/>
  <c r="J52"/>
  <c r="J48"/>
  <c r="J44"/>
  <c r="J40"/>
  <c r="J36"/>
  <c r="J32"/>
  <c r="J28"/>
  <c r="J24"/>
  <c r="J20"/>
  <c r="J16"/>
  <c r="J12"/>
  <c r="J53"/>
  <c r="J49"/>
  <c r="J45"/>
  <c r="J41"/>
  <c r="J37"/>
  <c r="J33"/>
  <c r="J29"/>
  <c r="J25"/>
  <c r="J21"/>
  <c r="J17"/>
  <c r="J13"/>
  <c r="O5"/>
  <c r="J5" i="57"/>
  <c r="P5" i="56"/>
  <c r="R5" s="1"/>
  <c r="P6"/>
  <c r="S6" s="1"/>
  <c r="J9" i="57"/>
  <c r="J7"/>
  <c r="J8"/>
  <c r="T6" i="56" l="1"/>
  <c r="Q5"/>
  <c r="Q6"/>
  <c r="R6"/>
  <c r="T5"/>
  <c r="D10" i="60"/>
  <c r="D11"/>
  <c r="D9"/>
  <c r="S5" i="56"/>
  <c r="N7" i="62"/>
  <c r="P7" s="1"/>
  <c r="N6"/>
  <c r="P6" s="1"/>
  <c r="L13" i="58"/>
  <c r="M8"/>
  <c r="H6"/>
  <c r="N12"/>
  <c r="N8"/>
  <c r="K15"/>
  <c r="G15"/>
  <c r="L14"/>
  <c r="H14"/>
  <c r="M13"/>
  <c r="I13"/>
  <c r="E13"/>
  <c r="J12"/>
  <c r="F12"/>
  <c r="K11"/>
  <c r="G11"/>
  <c r="L10"/>
  <c r="H10"/>
  <c r="M9"/>
  <c r="I9"/>
  <c r="E9"/>
  <c r="J8"/>
  <c r="F8"/>
  <c r="K7"/>
  <c r="G7"/>
  <c r="M6"/>
  <c r="I6"/>
  <c r="E6"/>
  <c r="F15"/>
  <c r="J11"/>
  <c r="L9"/>
  <c r="E8"/>
  <c r="F7"/>
  <c r="N13"/>
  <c r="N9"/>
  <c r="L15"/>
  <c r="H15"/>
  <c r="M14"/>
  <c r="I14"/>
  <c r="E14"/>
  <c r="J13"/>
  <c r="F13"/>
  <c r="K12"/>
  <c r="G12"/>
  <c r="L11"/>
  <c r="H11"/>
  <c r="M10"/>
  <c r="I10"/>
  <c r="E10"/>
  <c r="J9"/>
  <c r="F9"/>
  <c r="K8"/>
  <c r="G8"/>
  <c r="L7"/>
  <c r="H7"/>
  <c r="N6"/>
  <c r="J6"/>
  <c r="F6"/>
  <c r="N11"/>
  <c r="M12"/>
  <c r="E12"/>
  <c r="K10"/>
  <c r="H9"/>
  <c r="L6"/>
  <c r="N14"/>
  <c r="N10"/>
  <c r="M15"/>
  <c r="I15"/>
  <c r="E15"/>
  <c r="J14"/>
  <c r="F14"/>
  <c r="K13"/>
  <c r="G13"/>
  <c r="L12"/>
  <c r="H12"/>
  <c r="M11"/>
  <c r="I11"/>
  <c r="E11"/>
  <c r="J10"/>
  <c r="F10"/>
  <c r="K9"/>
  <c r="G9"/>
  <c r="L8"/>
  <c r="H8"/>
  <c r="M7"/>
  <c r="I7"/>
  <c r="E7"/>
  <c r="K6"/>
  <c r="G6"/>
  <c r="N15"/>
  <c r="N7"/>
  <c r="J15"/>
  <c r="K14"/>
  <c r="G14"/>
  <c r="H13"/>
  <c r="I12"/>
  <c r="F11"/>
  <c r="G10"/>
  <c r="I8"/>
  <c r="J7"/>
  <c r="N5" i="62"/>
  <c r="P5" s="1"/>
  <c r="N8"/>
  <c r="P8" s="1"/>
  <c r="E11" i="60" l="1"/>
  <c r="E9"/>
  <c r="E10"/>
  <c r="E8"/>
  <c r="F7"/>
  <c r="G7" s="1"/>
  <c r="D5" s="1"/>
  <c r="C5" l="1"/>
</calcChain>
</file>

<file path=xl/comments1.xml><?xml version="1.0" encoding="utf-8"?>
<comments xmlns="http://schemas.openxmlformats.org/spreadsheetml/2006/main">
  <authors>
    <author>rafaelv</author>
  </authors>
  <commentList>
    <comment ref="F4" authorId="0">
      <text>
        <r>
          <rPr>
            <sz val="10"/>
            <color indexed="81"/>
            <rFont val="Calibri"/>
            <family val="2"/>
          </rPr>
          <t>As notas variam de 1 a 10 e seguem essas premissas:
1 - Chance Remota de Falha
2 - Frequência muito baixa: 1 vez a cada 5 anos
3 - Pouco Frequente: 1 vez a cada 2 anos
4 - Frequência baixa: 1 vez por ano
5 - Frequência ocasional: 1 vez por semestre
6 - Frequência moderada: 1 vez por mês
7 - Frequente: 1 vez por semana
8 - Frequência elevada: algumas vezes por semana
9 - Frequência muito elevada: 1 vez ao dia
10 - Frequência máxima: várias vezes ao dia</t>
        </r>
      </text>
    </comment>
    <comment ref="G4" authorId="0">
      <text>
        <r>
          <rPr>
            <sz val="10"/>
            <color indexed="81"/>
            <rFont val="Calibri"/>
            <family val="2"/>
          </rPr>
          <t>As notas variam de 1 a 10 e seguem essas premissas:
1 - Efeito não detectável no sistema
2/3 - Baixa severidade causando aborrecimento leve no cliente
4/5/6 - Severidade moderada: cliente hora insatisfeito com perda de deempenho perceptível
7/8 - Severidade alta com alta insatisfação do cliente
9/10 - Severidade muita alta: risco potencial de segurança
e problemas graves de não-conformidades</t>
        </r>
      </text>
    </comment>
    <comment ref="H4" authorId="0">
      <text>
        <r>
          <rPr>
            <sz val="10"/>
            <color indexed="81"/>
            <rFont val="Calibri"/>
            <family val="2"/>
          </rPr>
          <t>As notas variam de 1 a 10 e seguem essas premissas:
1 - Detecção quase certa do modo de falha
2 - Probabilidade muito alta de detecção do modo de falha
3 - Alta probabilidade de detecção do modo de falha
4 - Moderadamente alta probabilidade de detecção do modo de falha
5 - Moderada probabilidade de detecção do modo de falha
6 - Baixa probabilidade de detecção do modo de falha
7 - Probabilidade muito baixa de detecção do modo de falha
8 - Probabilidade remota de detecção do modo de falha
9 - Probabilidade muito remota de detecção do modo de falha
10 - Não é possível detectar o modo de falha</t>
        </r>
      </text>
    </comment>
  </commentList>
</comments>
</file>

<file path=xl/sharedStrings.xml><?xml version="1.0" encoding="utf-8"?>
<sst xmlns="http://schemas.openxmlformats.org/spreadsheetml/2006/main" count="1061" uniqueCount="97">
  <si>
    <t>Sistemas</t>
  </si>
  <si>
    <t>Nome do componente avaliado</t>
  </si>
  <si>
    <t>Função do componente</t>
  </si>
  <si>
    <t>Modo de Falha</t>
  </si>
  <si>
    <t>Efeito Potencial da Falha</t>
  </si>
  <si>
    <t>Possibilidade de Ocorrência</t>
  </si>
  <si>
    <t>Possibilidade de Detecção</t>
  </si>
  <si>
    <t>Severidade da Falha</t>
  </si>
  <si>
    <t>Responsável</t>
  </si>
  <si>
    <t>Status</t>
  </si>
  <si>
    <t>Previsão de Término</t>
  </si>
  <si>
    <t>Início</t>
  </si>
  <si>
    <t>Término</t>
  </si>
  <si>
    <t>Prazo Programado</t>
  </si>
  <si>
    <t>Prazo Realizado</t>
  </si>
  <si>
    <t>Tipo de Análise de Modos de Falha e Efeitos</t>
  </si>
  <si>
    <t>Ocorrência</t>
  </si>
  <si>
    <t>Objetivo</t>
  </si>
  <si>
    <t>Grupo de Trabalho</t>
  </si>
  <si>
    <t>Ação Corretiva Planejada</t>
  </si>
  <si>
    <t>Escolha um modo de falha:</t>
  </si>
  <si>
    <t>vínculo matriz</t>
  </si>
  <si>
    <t>ocorrência</t>
  </si>
  <si>
    <t>severidade</t>
  </si>
  <si>
    <t>detecção</t>
  </si>
  <si>
    <t>e veja onde ela se encontra na matriz:</t>
  </si>
  <si>
    <t>Id.</t>
  </si>
  <si>
    <t>Top 5 Falhas</t>
  </si>
  <si>
    <t>Ações Corretivas</t>
  </si>
  <si>
    <t>Efeitos</t>
  </si>
  <si>
    <t>Status das Ações Corretivas</t>
  </si>
  <si>
    <t>Concluído</t>
  </si>
  <si>
    <t>Em Andamento</t>
  </si>
  <si>
    <t>Concluído com Atraso</t>
  </si>
  <si>
    <t>Atrasado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</si>
  <si>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</si>
  <si>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</si>
  <si>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</si>
  <si>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</si>
  <si>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</si>
  <si>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</si>
  <si>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</si>
  <si>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</si>
  <si>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</si>
  <si>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</si>
  <si>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</si>
  <si>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</si>
  <si>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</si>
  <si>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RPN - Risco:            (Risk Priority Number)</t>
  </si>
  <si>
    <t>RPN - Risco: (Risk Priority Number)</t>
  </si>
  <si>
    <t>Classificação</t>
  </si>
  <si>
    <t>PROCV Classificação = aba FMEA</t>
  </si>
  <si>
    <t>Risco Baixo</t>
  </si>
  <si>
    <t>Risco Elevado</t>
  </si>
  <si>
    <t>Risco Crítico</t>
  </si>
  <si>
    <t>Quantidade de falhas listadas</t>
  </si>
  <si>
    <t>Risco Moderado</t>
  </si>
  <si>
    <t>Perda de qualidade do produto</t>
  </si>
  <si>
    <t>Atraso na produção</t>
  </si>
  <si>
    <t>Sistema não funciona</t>
  </si>
  <si>
    <t>Cortes mal feitos</t>
  </si>
  <si>
    <t>Aumento de custo</t>
  </si>
  <si>
    <t>Despedício de insumos</t>
  </si>
  <si>
    <t>Verificação do sistema de corte</t>
  </si>
  <si>
    <t>Avaliação da precisão da máquina</t>
  </si>
  <si>
    <t>Diminuir insumos usados</t>
  </si>
  <si>
    <t>Agendar manutenções preventivas</t>
  </si>
  <si>
    <t>Calibrar sistema de corte</t>
  </si>
  <si>
    <t>Despedício de insumos - Aumento de custo</t>
  </si>
  <si>
    <t>Cortes mal feitos - Perda de qualidade do produto</t>
  </si>
  <si>
    <t>Falta de manutenção - Máquina para de funcionar</t>
  </si>
  <si>
    <t>Sistema não funciona - Atraso na produção</t>
  </si>
  <si>
    <t>Placas mal dimensionadas - Máquina pode quebrar</t>
  </si>
  <si>
    <t xml:space="preserve"> - </t>
  </si>
  <si>
    <t/>
  </si>
  <si>
    <t>Controle de atividades</t>
  </si>
  <si>
    <t>Frotas</t>
  </si>
  <si>
    <t>Emplacamento incorreto</t>
  </si>
  <si>
    <t>Atraso na entrega do doc</t>
  </si>
  <si>
    <t>Pgto. Adicional de despesas</t>
  </si>
  <si>
    <t>Falta de intr. Motoboy</t>
  </si>
  <si>
    <t>Não realizar a entrega/retirada</t>
  </si>
  <si>
    <t>Teste</t>
  </si>
  <si>
    <t>Teste 1</t>
  </si>
  <si>
    <t>Teste 2</t>
  </si>
  <si>
    <t>Teste 3</t>
  </si>
  <si>
    <t>Teste 4</t>
  </si>
  <si>
    <t>Manutenção do servidor</t>
  </si>
  <si>
    <t>Orientação para emplacar</t>
  </si>
  <si>
    <t>Identificação correta da atividade</t>
  </si>
  <si>
    <t>Acompanhamento visível</t>
  </si>
  <si>
    <t>(vazio)</t>
  </si>
  <si>
    <t>Soma de RPN - Risco: (Risk Priority Number)</t>
  </si>
  <si>
    <t>Sev</t>
  </si>
  <si>
    <t>OC</t>
  </si>
  <si>
    <t>Dec</t>
  </si>
  <si>
    <t>RPN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</si>
</sst>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&quot;R$&quot;\ #,##0"/>
  </numFmts>
  <fonts count="1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1"/>
      <name val="Calibri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 tint="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theme="1" tint="0.249977111117893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5B03E"/>
        <bgColor indexed="64"/>
      </patternFill>
    </fill>
    <fill>
      <patternFill patternType="solid">
        <fgColor rgb="FFF04F2E"/>
        <bgColor indexed="64"/>
      </patternFill>
    </fill>
    <fill>
      <patternFill patternType="solid">
        <fgColor rgb="FFFC860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A462E"/>
        <bgColor indexed="64"/>
      </patternFill>
    </fill>
    <fill>
      <patternFill patternType="solid">
        <fgColor rgb="FFFF9300"/>
        <bgColor indexed="64"/>
      </patternFill>
    </fill>
  </fills>
  <borders count="2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ck">
        <color theme="0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0" fontId="6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3" fillId="0" borderId="0"/>
    <xf numFmtId="9" fontId="3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Fill="1" applyBorder="1" applyProtection="1"/>
    <xf numFmtId="0" fontId="0" fillId="2" borderId="0" xfId="0" applyFill="1" applyAlignment="1" applyProtection="1">
      <alignment horizontal="right" indent="1"/>
    </xf>
    <xf numFmtId="0" fontId="8" fillId="0" borderId="0" xfId="1" applyFont="1" applyFill="1" applyBorder="1" applyAlignment="1" applyProtection="1">
      <alignment horizontal="center" vertical="center"/>
    </xf>
    <xf numFmtId="0" fontId="8" fillId="0" borderId="0" xfId="0" applyFont="1" applyFill="1" applyBorder="1" applyAlignment="1" applyProtection="1">
      <alignment horizontal="center" vertical="center"/>
    </xf>
    <xf numFmtId="0" fontId="0" fillId="2" borderId="0" xfId="0" applyFill="1" applyProtection="1">
      <protection locked="0"/>
    </xf>
    <xf numFmtId="0" fontId="0" fillId="2" borderId="0" xfId="0" applyFill="1" applyProtection="1"/>
    <xf numFmtId="0" fontId="0" fillId="2" borderId="0" xfId="0" applyFill="1" applyProtection="1"/>
    <xf numFmtId="0" fontId="9" fillId="3" borderId="6" xfId="0" applyFont="1" applyFill="1" applyBorder="1" applyAlignment="1" applyProtection="1">
      <alignment horizontal="left" vertical="center" wrapText="1" indent="1"/>
    </xf>
    <xf numFmtId="0" fontId="4" fillId="4" borderId="7" xfId="0" applyFont="1" applyFill="1" applyBorder="1" applyAlignment="1" applyProtection="1">
      <alignment horizontal="left" vertical="center" indent="1"/>
    </xf>
    <xf numFmtId="0" fontId="4" fillId="4" borderId="7" xfId="0" applyNumberFormat="1" applyFont="1" applyFill="1" applyBorder="1" applyAlignment="1" applyProtection="1">
      <alignment horizontal="left" vertical="center" inden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0" fillId="2" borderId="0" xfId="0" applyFill="1" applyProtection="1"/>
    <xf numFmtId="0" fontId="0" fillId="2" borderId="0" xfId="0" applyFill="1" applyProtection="1"/>
    <xf numFmtId="0" fontId="8" fillId="0" borderId="0" xfId="0" applyFont="1" applyFill="1" applyBorder="1" applyProtection="1"/>
    <xf numFmtId="0" fontId="9" fillId="3" borderId="6" xfId="0" applyFont="1" applyFill="1" applyBorder="1" applyAlignment="1" applyProtection="1">
      <alignment horizontal="center" vertical="center" wrapText="1"/>
    </xf>
    <xf numFmtId="0" fontId="4" fillId="4" borderId="7" xfId="0" applyFont="1" applyFill="1" applyBorder="1" applyAlignment="1" applyProtection="1">
      <alignment horizontal="left" vertical="center" indent="1"/>
    </xf>
    <xf numFmtId="0" fontId="4" fillId="4" borderId="7" xfId="0" applyFont="1" applyFill="1" applyBorder="1" applyAlignment="1" applyProtection="1">
      <alignment horizontal="center" vertical="center"/>
    </xf>
    <xf numFmtId="0" fontId="8" fillId="2" borderId="0" xfId="0" applyFont="1" applyFill="1" applyProtection="1"/>
    <xf numFmtId="14" fontId="8" fillId="0" borderId="0" xfId="0" applyNumberFormat="1" applyFont="1" applyFill="1" applyBorder="1" applyAlignment="1" applyProtection="1">
      <alignment horizontal="center" vertical="center"/>
    </xf>
    <xf numFmtId="0" fontId="4" fillId="4" borderId="7" xfId="0" applyFont="1" applyFill="1" applyBorder="1" applyAlignment="1" applyProtection="1">
      <alignment horizontal="left" vertical="center" wrapText="1" indent="1"/>
    </xf>
    <xf numFmtId="0" fontId="5" fillId="5" borderId="7" xfId="0" applyFont="1" applyFill="1" applyBorder="1" applyAlignment="1" applyProtection="1">
      <alignment horizontal="left" vertical="center" indent="1"/>
    </xf>
    <xf numFmtId="0" fontId="4" fillId="0" borderId="7" xfId="0" applyFont="1" applyFill="1" applyBorder="1" applyAlignment="1" applyProtection="1">
      <alignment horizontal="left" vertical="center" indent="1"/>
      <protection locked="0"/>
    </xf>
    <xf numFmtId="14" fontId="4" fillId="0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center"/>
    </xf>
    <xf numFmtId="0" fontId="11" fillId="0" borderId="7" xfId="0" applyFont="1" applyFill="1" applyBorder="1" applyAlignment="1" applyProtection="1">
      <alignment horizontal="left" vertical="center" wrapText="1" indent="1"/>
    </xf>
    <xf numFmtId="0" fontId="12" fillId="6" borderId="8" xfId="0" applyFont="1" applyFill="1" applyBorder="1" applyAlignment="1" applyProtection="1">
      <alignment horizontal="left" vertical="center" wrapText="1" indent="1"/>
    </xf>
    <xf numFmtId="0" fontId="12" fillId="7" borderId="9" xfId="0" applyFont="1" applyFill="1" applyBorder="1" applyAlignment="1" applyProtection="1">
      <alignment horizontal="left" vertical="center" wrapText="1" indent="1"/>
    </xf>
    <xf numFmtId="0" fontId="12" fillId="8" borderId="9" xfId="0" applyFont="1" applyFill="1" applyBorder="1" applyAlignment="1" applyProtection="1">
      <alignment horizontal="left" vertical="center" wrapText="1" indent="1"/>
    </xf>
    <xf numFmtId="0" fontId="12" fillId="9" borderId="9" xfId="0" applyFont="1" applyFill="1" applyBorder="1" applyAlignment="1" applyProtection="1">
      <alignment horizontal="left" vertical="center" wrapText="1" indent="1"/>
    </xf>
    <xf numFmtId="164" fontId="12" fillId="7" borderId="9" xfId="2" applyNumberFormat="1" applyFont="1" applyFill="1" applyBorder="1" applyAlignment="1" applyProtection="1">
      <alignment horizontal="left" vertical="center" wrapText="1" indent="1"/>
    </xf>
    <xf numFmtId="164" fontId="12" fillId="8" borderId="9" xfId="2" applyNumberFormat="1" applyFont="1" applyFill="1" applyBorder="1" applyAlignment="1" applyProtection="1">
      <alignment horizontal="left" vertical="center" wrapText="1" indent="1"/>
    </xf>
    <xf numFmtId="164" fontId="12" fillId="9" borderId="9" xfId="2" applyNumberFormat="1" applyFont="1" applyFill="1" applyBorder="1" applyAlignment="1" applyProtection="1">
      <alignment horizontal="left" vertical="center" wrapText="1" indent="1"/>
    </xf>
    <xf numFmtId="164" fontId="12" fillId="6" borderId="8" xfId="2" applyNumberFormat="1" applyFont="1" applyFill="1" applyBorder="1" applyAlignment="1" applyProtection="1">
      <alignment horizontal="left" vertical="center" wrapText="1" indent="1"/>
    </xf>
    <xf numFmtId="0" fontId="4" fillId="0" borderId="7" xfId="0" applyFont="1" applyFill="1" applyBorder="1" applyAlignment="1" applyProtection="1">
      <alignment horizontal="left" vertical="center" indent="1"/>
      <protection locked="0"/>
    </xf>
    <xf numFmtId="0" fontId="4" fillId="0" borderId="7" xfId="0" applyFont="1" applyFill="1" applyBorder="1" applyAlignment="1" applyProtection="1">
      <alignment horizontal="left" vertical="center" wrapText="1" indent="1"/>
      <protection locked="0"/>
    </xf>
    <xf numFmtId="14" fontId="4" fillId="0" borderId="7" xfId="0" applyNumberFormat="1" applyFont="1" applyFill="1" applyBorder="1" applyAlignment="1" applyProtection="1">
      <alignment horizontal="left" vertical="center" indent="1"/>
      <protection locked="0"/>
    </xf>
    <xf numFmtId="0" fontId="4" fillId="4" borderId="7" xfId="0" applyFont="1" applyFill="1" applyBorder="1" applyAlignment="1" applyProtection="1">
      <alignment horizontal="left" vertical="center" indent="1"/>
    </xf>
    <xf numFmtId="0" fontId="4" fillId="4" borderId="7" xfId="0" applyFont="1" applyFill="1" applyBorder="1" applyAlignment="1" applyProtection="1">
      <alignment horizontal="left" vertical="center" wrapText="1" indent="1"/>
    </xf>
    <xf numFmtId="0" fontId="4" fillId="4" borderId="7" xfId="0" applyFont="1" applyFill="1" applyBorder="1" applyAlignment="1" applyProtection="1">
      <alignment horizontal="left" vertical="center" wrapText="1" indent="1"/>
    </xf>
    <xf numFmtId="14" fontId="4" fillId="4" borderId="7" xfId="0" applyNumberFormat="1" applyFont="1" applyFill="1" applyBorder="1" applyAlignment="1" applyProtection="1">
      <alignment horizontal="left" vertical="center" indent="1"/>
    </xf>
    <xf numFmtId="0" fontId="0" fillId="2" borderId="0" xfId="0" applyFill="1" applyAlignment="1" applyProtection="1">
      <alignment horizontal="right" indent="1"/>
      <protection locked="0"/>
    </xf>
    <xf numFmtId="0" fontId="0" fillId="0" borderId="0" xfId="0" applyFill="1" applyBorder="1" applyProtection="1"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14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left" vertical="center" indent="1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0" fontId="16" fillId="10" borderId="0" xfId="0" applyFont="1" applyFill="1" applyBorder="1" applyAlignment="1" applyProtection="1">
      <alignment horizontal="center" vertical="center"/>
      <protection locked="0"/>
    </xf>
    <xf numFmtId="0" fontId="16" fillId="9" borderId="0" xfId="0" applyFont="1" applyFill="1" applyBorder="1" applyAlignment="1" applyProtection="1">
      <alignment horizontal="center" vertical="center"/>
      <protection locked="0"/>
    </xf>
    <xf numFmtId="0" fontId="16" fillId="11" borderId="0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Border="1" applyAlignment="1" applyProtection="1">
      <alignment horizontal="center" vertical="center"/>
      <protection locked="0"/>
    </xf>
    <xf numFmtId="0" fontId="4" fillId="4" borderId="8" xfId="0" applyFont="1" applyFill="1" applyBorder="1" applyAlignment="1" applyProtection="1">
      <alignment horizontal="center" vertical="center"/>
      <protection locked="0"/>
    </xf>
    <xf numFmtId="0" fontId="8" fillId="9" borderId="0" xfId="1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8" fillId="9" borderId="0" xfId="0" applyFont="1" applyFill="1" applyBorder="1" applyProtection="1"/>
    <xf numFmtId="0" fontId="8" fillId="9" borderId="0" xfId="1" applyFont="1" applyFill="1" applyBorder="1" applyAlignment="1" applyProtection="1">
      <alignment horizontal="center" vertical="center"/>
      <protection locked="0"/>
    </xf>
    <xf numFmtId="0" fontId="8" fillId="9" borderId="0" xfId="0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Protection="1">
      <protection locked="0"/>
    </xf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4" xfId="0" applyNumberFormat="1" applyBorder="1"/>
    <xf numFmtId="0" fontId="0" fillId="0" borderId="5" xfId="0" applyNumberFormat="1" applyBorder="1"/>
    <xf numFmtId="0" fontId="1" fillId="0" borderId="0" xfId="3"/>
    <xf numFmtId="0" fontId="7" fillId="4" borderId="19" xfId="0" applyFont="1" applyFill="1" applyBorder="1" applyAlignment="1" applyProtection="1">
      <alignment horizontal="center" vertical="center"/>
      <protection locked="0"/>
    </xf>
    <xf numFmtId="0" fontId="7" fillId="4" borderId="21" xfId="0" applyFont="1" applyFill="1" applyBorder="1" applyAlignment="1" applyProtection="1">
      <alignment horizontal="center" vertical="center"/>
      <protection locked="0"/>
    </xf>
    <xf numFmtId="0" fontId="7" fillId="4" borderId="22" xfId="0" applyFont="1" applyFill="1" applyBorder="1" applyAlignment="1" applyProtection="1">
      <alignment horizontal="center" vertical="center"/>
      <protection locked="0"/>
    </xf>
    <xf numFmtId="0" fontId="7" fillId="4" borderId="18" xfId="0" applyFont="1" applyFill="1" applyBorder="1" applyAlignment="1" applyProtection="1">
      <alignment horizontal="center" vertical="center" textRotation="90"/>
      <protection locked="0"/>
    </xf>
    <xf numFmtId="0" fontId="7" fillId="4" borderId="20" xfId="0" applyFont="1" applyFill="1" applyBorder="1" applyAlignment="1" applyProtection="1">
      <alignment horizontal="center" vertical="center" textRotation="90"/>
      <protection locked="0"/>
    </xf>
    <xf numFmtId="0" fontId="7" fillId="4" borderId="8" xfId="0" applyFont="1" applyFill="1" applyBorder="1" applyAlignment="1" applyProtection="1">
      <alignment horizontal="center" vertical="center" textRotation="90"/>
      <protection locked="0"/>
    </xf>
    <xf numFmtId="0" fontId="13" fillId="0" borderId="10" xfId="0" applyNumberFormat="1" applyFont="1" applyFill="1" applyBorder="1" applyAlignment="1">
      <alignment horizontal="center" vertical="center"/>
    </xf>
    <xf numFmtId="0" fontId="13" fillId="0" borderId="11" xfId="0" applyNumberFormat="1" applyFont="1" applyFill="1" applyBorder="1" applyAlignment="1">
      <alignment horizontal="center" vertical="center"/>
    </xf>
    <xf numFmtId="165" fontId="14" fillId="0" borderId="12" xfId="0" applyNumberFormat="1" applyFont="1" applyFill="1" applyBorder="1" applyAlignment="1">
      <alignment horizontal="left" vertical="center" indent="1"/>
    </xf>
    <xf numFmtId="165" fontId="14" fillId="0" borderId="13" xfId="0" applyNumberFormat="1" applyFont="1" applyFill="1" applyBorder="1" applyAlignment="1">
      <alignment horizontal="left" vertical="center" indent="1"/>
    </xf>
    <xf numFmtId="165" fontId="14" fillId="0" borderId="14" xfId="0" applyNumberFormat="1" applyFont="1" applyFill="1" applyBorder="1" applyAlignment="1">
      <alignment horizontal="left" vertical="center" indent="1"/>
    </xf>
    <xf numFmtId="165" fontId="15" fillId="0" borderId="0" xfId="0" applyNumberFormat="1" applyFont="1" applyFill="1" applyBorder="1" applyAlignment="1">
      <alignment horizontal="left" vertical="center" wrapText="1" indent="1"/>
    </xf>
    <xf numFmtId="165" fontId="15" fillId="0" borderId="15" xfId="0" applyNumberFormat="1" applyFont="1" applyFill="1" applyBorder="1" applyAlignment="1">
      <alignment horizontal="left" vertical="center" wrapText="1" indent="1"/>
    </xf>
    <xf numFmtId="165" fontId="15" fillId="0" borderId="16" xfId="0" applyNumberFormat="1" applyFont="1" applyFill="1" applyBorder="1" applyAlignment="1">
      <alignment horizontal="left" vertical="center" wrapText="1" indent="1"/>
    </xf>
    <xf numFmtId="165" fontId="15" fillId="0" borderId="17" xfId="0" applyNumberFormat="1" applyFont="1" applyFill="1" applyBorder="1" applyAlignment="1">
      <alignment horizontal="left" vertical="center" wrapText="1" indent="1"/>
    </xf>
    <xf numFmtId="0" fontId="9" fillId="0" borderId="6" xfId="0" applyFont="1" applyFill="1" applyBorder="1" applyAlignment="1" applyProtection="1">
      <alignment horizontal="left" vertical="center" wrapText="1" indent="1"/>
    </xf>
    <xf numFmtId="0" fontId="18" fillId="0" borderId="0" xfId="0" applyFont="1"/>
    <xf numFmtId="0" fontId="8" fillId="0" borderId="0" xfId="0" applyFont="1"/>
    <xf numFmtId="0" fontId="17" fillId="0" borderId="6" xfId="0" applyFont="1" applyFill="1" applyBorder="1" applyAlignment="1" applyProtection="1">
      <alignment horizontal="center" vertical="center" wrapText="1"/>
    </xf>
    <xf numFmtId="0" fontId="17" fillId="0" borderId="6" xfId="0" applyFont="1" applyFill="1" applyBorder="1" applyAlignment="1" applyProtection="1">
      <alignment horizontal="left" vertical="center" wrapText="1" indent="1"/>
    </xf>
    <xf numFmtId="17" fontId="17" fillId="0" borderId="6" xfId="0" applyNumberFormat="1" applyFont="1" applyFill="1" applyBorder="1" applyAlignment="1" applyProtection="1">
      <alignment horizontal="left" vertical="center" wrapText="1" indent="1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17" fontId="9" fillId="3" borderId="6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</cellXfs>
  <cellStyles count="6">
    <cellStyle name="Hyperlink" xfId="1" builtinId="8"/>
    <cellStyle name="Normal" xfId="0" builtinId="0"/>
    <cellStyle name="Normal 2" xfId="4"/>
    <cellStyle name="Normal 3" xfId="3"/>
    <cellStyle name="Porcentagem" xfId="2" builtinId="5"/>
    <cellStyle name="Porcentagem 2" xfId="5"/>
  </cellStyles>
  <dxfs count="19">
    <dxf>
      <font>
        <color rgb="FFFC8602"/>
      </font>
    </dxf>
    <dxf>
      <font>
        <color rgb="FFFFC000"/>
      </font>
    </dxf>
    <dxf>
      <font>
        <color rgb="FF55B03E"/>
      </font>
    </dxf>
    <dxf>
      <font>
        <color rgb="FFF04F2E"/>
      </font>
    </dxf>
    <dxf>
      <fill>
        <patternFill>
          <bgColor theme="0"/>
        </patternFill>
      </fill>
    </dxf>
    <dxf>
      <font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FC8604"/>
        </patternFill>
      </fill>
    </dxf>
    <dxf>
      <font>
        <color theme="0"/>
      </font>
      <fill>
        <patternFill>
          <bgColor rgb="FFF0462E"/>
        </patternFill>
      </fill>
    </dxf>
    <dxf>
      <font>
        <color theme="1" tint="0.24994659260841701"/>
      </font>
      <fill>
        <patternFill>
          <bgColor theme="0" tint="-4.9989318521683403E-2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55B03E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rgb="FFFFC0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rgb="FFFF930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rgb="FFF04F2E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ont>
        <color theme="0"/>
      </font>
      <fill>
        <patternFill>
          <bgColor rgb="FF55B03E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FC8602"/>
        </patternFill>
      </fill>
    </dxf>
    <dxf>
      <font>
        <color theme="0"/>
      </font>
      <fill>
        <patternFill>
          <bgColor rgb="FFF0462E"/>
        </patternFill>
      </fill>
    </dxf>
  </dxfs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04F2E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FC8604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2"/>
            <c:spPr>
              <a:solidFill>
                <a:srgbClr val="FFC000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3"/>
            <c:spPr>
              <a:solidFill>
                <a:srgbClr val="6699CC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Pt>
            <c:idx val="4"/>
            <c:spPr>
              <a:solidFill>
                <a:srgbClr val="55B03E"/>
              </a:solidFill>
              <a:ln w="12700">
                <a:solidFill>
                  <a:srgbClr val="FFFFFF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Percent val="1"/>
          </c:dLbls>
          <c:cat>
            <c:strRef>
              <c:f>Rel!$D$5:$D$9</c:f>
              <c:strCache>
                <c:ptCount val="5"/>
                <c:pt idx="0">
                  <c:v>Atraso na produção</c:v>
                </c:pt>
                <c:pt idx="1">
                  <c:v>Perda de qualidade do produto</c:v>
                </c:pt>
                <c:pt idx="2">
                  <c:v>Aumento de custo</c:v>
                </c:pt>
                <c:pt idx="3">
                  <c:v>Pgto. Adicional de despesas</c:v>
                </c:pt>
                <c:pt idx="4">
                  <c:v>Não realizar a entrega/retirada</c:v>
                </c:pt>
              </c:strCache>
            </c:strRef>
          </c:cat>
          <c:val>
            <c:numRef>
              <c:f>Rel!$E$5:$E$9</c:f>
              <c:numCache>
                <c:formatCode>General</c:formatCode>
                <c:ptCount val="5"/>
                <c:pt idx="0">
                  <c:v>16</c:v>
                </c:pt>
                <c:pt idx="1">
                  <c:v>126</c:v>
                </c:pt>
                <c:pt idx="2">
                  <c:v>12</c:v>
                </c:pt>
                <c:pt idx="3">
                  <c:v>4</c:v>
                </c:pt>
                <c:pt idx="4">
                  <c:v>192</c:v>
                </c:pt>
              </c:numCache>
            </c:numRef>
          </c:val>
        </c:ser>
        <c:firstSliceAng val="0"/>
        <c:holeSize val="40"/>
      </c:doughnutChart>
      <c:spPr>
        <a:noFill/>
        <a:ln w="25400">
          <a:noFill/>
        </a:ln>
      </c:spPr>
    </c:plotArea>
    <c:legend>
      <c:legendPos val="b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barChart>
        <c:barDir val="col"/>
        <c:grouping val="clustered"/>
        <c:ser>
          <c:idx val="0"/>
          <c:order val="0"/>
          <c:tx>
            <c:strRef>
              <c:f>Rel_AC!$C$5</c:f>
              <c:strCache>
                <c:ptCount val="1"/>
                <c:pt idx="0">
                  <c:v>Em Andamento</c:v>
                </c:pt>
              </c:strCache>
            </c:strRef>
          </c:tx>
          <c:spPr>
            <a:solidFill>
              <a:srgbClr val="FC8604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strRef>
              <c:f>Rel_AC!$D$4:$O$4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Rel_AC!$D$5:$O$5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Rel_AC!$C$6</c:f>
              <c:strCache>
                <c:ptCount val="1"/>
                <c:pt idx="0">
                  <c:v>Concluído</c:v>
                </c:pt>
              </c:strCache>
            </c:strRef>
          </c:tx>
          <c:spPr>
            <a:solidFill>
              <a:srgbClr val="55B03E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strRef>
              <c:f>Rel_AC!$D$4:$O$4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Rel_AC!$D$6:$O$6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Rel_AC!$C$7</c:f>
              <c:strCache>
                <c:ptCount val="1"/>
                <c:pt idx="0">
                  <c:v>Concluído com Atraso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strRef>
              <c:f>Rel_AC!$D$4:$O$4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Rel_AC!$D$7:$O$7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Rel_AC!$C$8</c:f>
              <c:strCache>
                <c:ptCount val="1"/>
                <c:pt idx="0">
                  <c:v>Atrasado</c:v>
                </c:pt>
              </c:strCache>
            </c:strRef>
          </c:tx>
          <c:spPr>
            <a:solidFill>
              <a:srgbClr val="F0462E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strRef>
              <c:f>Rel_AC!$D$4:$O$4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Rel_AC!$D$8:$O$8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</c:ser>
        <c:gapWidth val="219"/>
        <c:overlap val="-27"/>
        <c:axId val="130373888"/>
        <c:axId val="152978944"/>
      </c:barChart>
      <c:catAx>
        <c:axId val="13037388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978944"/>
        <c:crosses val="autoZero"/>
        <c:auto val="1"/>
        <c:lblAlgn val="ctr"/>
        <c:lblOffset val="100"/>
      </c:catAx>
      <c:valAx>
        <c:axId val="152978944"/>
        <c:scaling>
          <c:orientation val="minMax"/>
        </c:scaling>
        <c:delete val="1"/>
        <c:axPos val="l"/>
        <c:numFmt formatCode="General" sourceLinked="1"/>
        <c:tickLblPos val="none"/>
        <c:crossAx val="13037388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strRef>
          <c:f>Dash!$C$11</c:f>
          <c:strCache>
            <c:ptCount val="1"/>
            <c:pt idx="0">
              <c:v>Risco Baixo</c:v>
            </c:pt>
          </c:strCache>
        </c:strRef>
      </c:tx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barChart>
        <c:barDir val="col"/>
        <c:grouping val="clustered"/>
        <c:ser>
          <c:idx val="0"/>
          <c:order val="0"/>
          <c:spPr>
            <a:noFill/>
            <a:ln>
              <a:solidFill>
                <a:srgbClr val="55B03E"/>
              </a:solidFill>
            </a:ln>
            <a:effectLst/>
          </c:spPr>
          <c:val>
            <c:numRef>
              <c:f>Dash!$E$12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55B03E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numRef>
              <c:f>Dash!$A$11</c:f>
              <c:numCache>
                <c:formatCode>General</c:formatCode>
                <c:ptCount val="1"/>
              </c:numCache>
            </c:numRef>
          </c:cat>
          <c:val>
            <c:numRef>
              <c:f>Dash!$E$11</c:f>
              <c:numCache>
                <c:formatCode>0.0%</c:formatCode>
                <c:ptCount val="1"/>
                <c:pt idx="0">
                  <c:v>0.6</c:v>
                </c:pt>
              </c:numCache>
            </c:numRef>
          </c:val>
        </c:ser>
        <c:gapWidth val="100"/>
        <c:overlap val="100"/>
        <c:axId val="158472064"/>
        <c:axId val="158473600"/>
      </c:barChart>
      <c:catAx>
        <c:axId val="1584720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473600"/>
        <c:crosses val="autoZero"/>
        <c:auto val="1"/>
        <c:lblAlgn val="ctr"/>
        <c:lblOffset val="100"/>
      </c:catAx>
      <c:valAx>
        <c:axId val="158473600"/>
        <c:scaling>
          <c:orientation val="minMax"/>
          <c:max val="1"/>
          <c:min val="0"/>
        </c:scaling>
        <c:delete val="1"/>
        <c:axPos val="l"/>
        <c:numFmt formatCode="General" sourceLinked="1"/>
        <c:tickLblPos val="none"/>
        <c:crossAx val="1584720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strRef>
          <c:f>Dash!$C$10</c:f>
          <c:strCache>
            <c:ptCount val="1"/>
            <c:pt idx="0">
              <c:v>Risco Moderado</c:v>
            </c:pt>
          </c:strCache>
        </c:strRef>
      </c:tx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barChart>
        <c:barDir val="col"/>
        <c:grouping val="clustered"/>
        <c:ser>
          <c:idx val="0"/>
          <c:order val="0"/>
          <c:spPr>
            <a:noFill/>
            <a:ln>
              <a:solidFill>
                <a:srgbClr val="FFC000"/>
              </a:solidFill>
            </a:ln>
            <a:effectLst/>
          </c:spPr>
          <c:val>
            <c:numRef>
              <c:f>Dash!$E$12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FFC000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numRef>
              <c:f>Dash!$A$11</c:f>
              <c:numCache>
                <c:formatCode>General</c:formatCode>
                <c:ptCount val="1"/>
              </c:numCache>
            </c:numRef>
          </c:cat>
          <c:val>
            <c:numRef>
              <c:f>Dash!$E$10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</c:ser>
        <c:gapWidth val="100"/>
        <c:overlap val="100"/>
        <c:axId val="165790464"/>
        <c:axId val="165792000"/>
      </c:barChart>
      <c:catAx>
        <c:axId val="1657904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792000"/>
        <c:crosses val="autoZero"/>
        <c:auto val="1"/>
        <c:lblAlgn val="ctr"/>
        <c:lblOffset val="100"/>
      </c:catAx>
      <c:valAx>
        <c:axId val="165792000"/>
        <c:scaling>
          <c:orientation val="minMax"/>
          <c:max val="1"/>
          <c:min val="0"/>
        </c:scaling>
        <c:delete val="1"/>
        <c:axPos val="l"/>
        <c:numFmt formatCode="General" sourceLinked="1"/>
        <c:tickLblPos val="none"/>
        <c:crossAx val="1657904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strRef>
          <c:f>Dash!$C$9</c:f>
          <c:strCache>
            <c:ptCount val="1"/>
            <c:pt idx="0">
              <c:v>Risco Elevado</c:v>
            </c:pt>
          </c:strCache>
        </c:strRef>
      </c:tx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barChart>
        <c:barDir val="col"/>
        <c:grouping val="clustered"/>
        <c:ser>
          <c:idx val="0"/>
          <c:order val="0"/>
          <c:spPr>
            <a:noFill/>
            <a:ln>
              <a:solidFill>
                <a:srgbClr val="FC8604"/>
              </a:solidFill>
            </a:ln>
            <a:effectLst/>
          </c:spPr>
          <c:val>
            <c:numRef>
              <c:f>Dash!$E$12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FC8604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numRef>
              <c:f>Dash!$A$11</c:f>
              <c:numCache>
                <c:formatCode>General</c:formatCode>
                <c:ptCount val="1"/>
              </c:numCache>
            </c:numRef>
          </c:cat>
          <c:val>
            <c:numRef>
              <c:f>Dash!$E$9</c:f>
              <c:numCache>
                <c:formatCode>0.0%</c:formatCode>
                <c:ptCount val="1"/>
                <c:pt idx="0">
                  <c:v>0.2</c:v>
                </c:pt>
              </c:numCache>
            </c:numRef>
          </c:val>
        </c:ser>
        <c:gapWidth val="100"/>
        <c:overlap val="100"/>
        <c:axId val="312891264"/>
        <c:axId val="312892800"/>
      </c:barChart>
      <c:catAx>
        <c:axId val="312891264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892800"/>
        <c:crosses val="autoZero"/>
        <c:auto val="1"/>
        <c:lblAlgn val="ctr"/>
        <c:lblOffset val="100"/>
      </c:catAx>
      <c:valAx>
        <c:axId val="312892800"/>
        <c:scaling>
          <c:orientation val="minMax"/>
          <c:max val="1"/>
          <c:min val="0"/>
        </c:scaling>
        <c:delete val="1"/>
        <c:axPos val="l"/>
        <c:numFmt formatCode="General" sourceLinked="1"/>
        <c:tickLblPos val="none"/>
        <c:crossAx val="3128912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strRef>
          <c:f>Dash!$C$8</c:f>
          <c:strCache>
            <c:ptCount val="1"/>
            <c:pt idx="0">
              <c:v>Risco Crítico</c:v>
            </c:pt>
          </c:strCache>
        </c:strRef>
      </c:tx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plotArea>
      <c:layout/>
      <c:barChart>
        <c:barDir val="col"/>
        <c:grouping val="clustered"/>
        <c:ser>
          <c:idx val="0"/>
          <c:order val="0"/>
          <c:spPr>
            <a:noFill/>
            <a:ln>
              <a:solidFill>
                <a:srgbClr val="F04F2E"/>
              </a:solidFill>
            </a:ln>
            <a:effectLst/>
          </c:spPr>
          <c:val>
            <c:numRef>
              <c:f>Dash!$E$12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rgbClr val="F04F2E"/>
            </a:solidFill>
            <a:ln w="25400">
              <a:noFill/>
            </a:ln>
          </c:spPr>
          <c:dLbls>
            <c:spPr>
              <a:noFill/>
              <a:ln w="25400">
                <a:noFill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Val val="1"/>
          </c:dLbls>
          <c:cat>
            <c:numRef>
              <c:f>Dash!$A$11</c:f>
              <c:numCache>
                <c:formatCode>General</c:formatCode>
                <c:ptCount val="1"/>
              </c:numCache>
            </c:numRef>
          </c:cat>
          <c:val>
            <c:numRef>
              <c:f>Dash!$E$8</c:f>
              <c:numCache>
                <c:formatCode>0.0%</c:formatCode>
                <c:ptCount val="1"/>
                <c:pt idx="0">
                  <c:v>0.2</c:v>
                </c:pt>
              </c:numCache>
            </c:numRef>
          </c:val>
        </c:ser>
        <c:gapWidth val="100"/>
        <c:overlap val="100"/>
        <c:axId val="323478272"/>
        <c:axId val="328816512"/>
      </c:barChart>
      <c:catAx>
        <c:axId val="32347827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8816512"/>
        <c:crosses val="autoZero"/>
        <c:auto val="1"/>
        <c:lblAlgn val="ctr"/>
        <c:lblOffset val="100"/>
      </c:catAx>
      <c:valAx>
        <c:axId val="328816512"/>
        <c:scaling>
          <c:orientation val="minMax"/>
          <c:max val="1"/>
          <c:min val="0"/>
        </c:scaling>
        <c:delete val="1"/>
        <c:axPos val="l"/>
        <c:numFmt formatCode="General" sourceLinked="1"/>
        <c:tickLblPos val="none"/>
        <c:crossAx val="323478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/>
      <c:lineChart>
        <c:grouping val="standard"/>
        <c:ser>
          <c:idx val="0"/>
          <c:order val="0"/>
          <c:tx>
            <c:strRef>
              <c:f>'Histórico de Falhas'!$A$301:$B$301</c:f>
              <c:strCache>
                <c:ptCount val="1"/>
                <c:pt idx="0">
                  <c:v>1 Sistema não funciona</c:v>
                </c:pt>
              </c:strCache>
            </c:strRef>
          </c:tx>
          <c:cat>
            <c:numRef>
              <c:f>'Histórico de Falhas'!$C$300:$N$300</c:f>
              <c:numCache>
                <c:formatCode>mmm/yy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'Histórico de Falhas'!$C$301:$N$301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91919488"/>
        <c:axId val="91921024"/>
      </c:lineChart>
      <c:dateAx>
        <c:axId val="91919488"/>
        <c:scaling>
          <c:orientation val="minMax"/>
        </c:scaling>
        <c:axPos val="b"/>
        <c:numFmt formatCode="mmm/yy" sourceLinked="1"/>
        <c:tickLblPos val="nextTo"/>
        <c:crossAx val="91921024"/>
        <c:crosses val="autoZero"/>
        <c:auto val="1"/>
        <c:lblOffset val="100"/>
      </c:dateAx>
      <c:valAx>
        <c:axId val="91921024"/>
        <c:scaling>
          <c:orientation val="minMax"/>
        </c:scaling>
        <c:axPos val="l"/>
        <c:majorGridlines/>
        <c:numFmt formatCode="General" sourceLinked="1"/>
        <c:tickLblPos val="nextTo"/>
        <c:crossAx val="919194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FMEA!A1"/><Relationship Id="rId2" Type="http://schemas.openxmlformats.org/officeDocument/2006/relationships/hyperlink" Target="#Plano!A1"/><Relationship Id="rId1" Type="http://schemas.openxmlformats.org/officeDocument/2006/relationships/hyperlink" Target="#Dash!A1"/><Relationship Id="rId6" Type="http://schemas.openxmlformats.org/officeDocument/2006/relationships/hyperlink" Target="#Rel!A1"/><Relationship Id="rId5" Type="http://schemas.openxmlformats.org/officeDocument/2006/relationships/hyperlink" Target="#'Matriz de Prioridade'!A1"/><Relationship Id="rId4" Type="http://schemas.openxmlformats.org/officeDocument/2006/relationships/hyperlink" Target="#AC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FMEA!A1"/><Relationship Id="rId2" Type="http://schemas.openxmlformats.org/officeDocument/2006/relationships/hyperlink" Target="#Plano!A1"/><Relationship Id="rId1" Type="http://schemas.openxmlformats.org/officeDocument/2006/relationships/hyperlink" Target="#Dash!A1"/><Relationship Id="rId6" Type="http://schemas.openxmlformats.org/officeDocument/2006/relationships/hyperlink" Target="#Rel!A1"/><Relationship Id="rId5" Type="http://schemas.openxmlformats.org/officeDocument/2006/relationships/hyperlink" Target="#'Matriz de Prioridade'!A1"/><Relationship Id="rId4" Type="http://schemas.openxmlformats.org/officeDocument/2006/relationships/hyperlink" Target="#AC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FMEA!A1"/><Relationship Id="rId2" Type="http://schemas.openxmlformats.org/officeDocument/2006/relationships/hyperlink" Target="#Plano!A1"/><Relationship Id="rId1" Type="http://schemas.openxmlformats.org/officeDocument/2006/relationships/hyperlink" Target="#Dash!A1"/><Relationship Id="rId6" Type="http://schemas.openxmlformats.org/officeDocument/2006/relationships/hyperlink" Target="#Rel!A1"/><Relationship Id="rId5" Type="http://schemas.openxmlformats.org/officeDocument/2006/relationships/hyperlink" Target="#'Matriz de Prioridade'!A1"/><Relationship Id="rId4" Type="http://schemas.openxmlformats.org/officeDocument/2006/relationships/hyperlink" Target="#AC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FMEA!A1"/><Relationship Id="rId2" Type="http://schemas.openxmlformats.org/officeDocument/2006/relationships/hyperlink" Target="#Plano!A1"/><Relationship Id="rId1" Type="http://schemas.openxmlformats.org/officeDocument/2006/relationships/hyperlink" Target="#Dash!A1"/><Relationship Id="rId6" Type="http://schemas.openxmlformats.org/officeDocument/2006/relationships/hyperlink" Target="#Rel!A1"/><Relationship Id="rId5" Type="http://schemas.openxmlformats.org/officeDocument/2006/relationships/hyperlink" Target="#'Matriz de Prioridade'!A1"/><Relationship Id="rId4" Type="http://schemas.openxmlformats.org/officeDocument/2006/relationships/hyperlink" Target="#AC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Rel!A1"/><Relationship Id="rId3" Type="http://schemas.openxmlformats.org/officeDocument/2006/relationships/hyperlink" Target="#Dash!A1"/><Relationship Id="rId7" Type="http://schemas.openxmlformats.org/officeDocument/2006/relationships/hyperlink" Target="#'Matriz de Prioridade'!A1"/><Relationship Id="rId2" Type="http://schemas.openxmlformats.org/officeDocument/2006/relationships/hyperlink" Target="#Rel_AC!A1"/><Relationship Id="rId1" Type="http://schemas.openxmlformats.org/officeDocument/2006/relationships/hyperlink" Target="#Rel!A1"/><Relationship Id="rId6" Type="http://schemas.openxmlformats.org/officeDocument/2006/relationships/hyperlink" Target="#AC!A1"/><Relationship Id="rId5" Type="http://schemas.openxmlformats.org/officeDocument/2006/relationships/hyperlink" Target="#FMEA!A1"/><Relationship Id="rId4" Type="http://schemas.openxmlformats.org/officeDocument/2006/relationships/hyperlink" Target="#Plano!A1"/><Relationship Id="rId9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!A1"/><Relationship Id="rId3" Type="http://schemas.openxmlformats.org/officeDocument/2006/relationships/hyperlink" Target="#Dash!A1"/><Relationship Id="rId7" Type="http://schemas.openxmlformats.org/officeDocument/2006/relationships/hyperlink" Target="#'Matriz de Prioridade'!A1"/><Relationship Id="rId2" Type="http://schemas.openxmlformats.org/officeDocument/2006/relationships/hyperlink" Target="#Rel_AC!A1"/><Relationship Id="rId1" Type="http://schemas.openxmlformats.org/officeDocument/2006/relationships/hyperlink" Target="#Rel!A1"/><Relationship Id="rId6" Type="http://schemas.openxmlformats.org/officeDocument/2006/relationships/hyperlink" Target="#AC!A1"/><Relationship Id="rId5" Type="http://schemas.openxmlformats.org/officeDocument/2006/relationships/hyperlink" Target="#FMEA!A1"/><Relationship Id="rId4" Type="http://schemas.openxmlformats.org/officeDocument/2006/relationships/hyperlink" Target="#Plano!A1"/><Relationship Id="rId9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FMEA!A1"/><Relationship Id="rId7" Type="http://schemas.openxmlformats.org/officeDocument/2006/relationships/chart" Target="../charts/chart3.xml"/><Relationship Id="rId2" Type="http://schemas.openxmlformats.org/officeDocument/2006/relationships/hyperlink" Target="#Plano!A1"/><Relationship Id="rId1" Type="http://schemas.openxmlformats.org/officeDocument/2006/relationships/hyperlink" Target="#Dash!A1"/><Relationship Id="rId6" Type="http://schemas.openxmlformats.org/officeDocument/2006/relationships/hyperlink" Target="#Rel!A1"/><Relationship Id="rId5" Type="http://schemas.openxmlformats.org/officeDocument/2006/relationships/hyperlink" Target="#'Matriz de Prioridade'!A1"/><Relationship Id="rId10" Type="http://schemas.openxmlformats.org/officeDocument/2006/relationships/chart" Target="../charts/chart6.xml"/><Relationship Id="rId4" Type="http://schemas.openxmlformats.org/officeDocument/2006/relationships/hyperlink" Target="#AC!A1"/><Relationship Id="rId9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95250</xdr:rowOff>
    </xdr:from>
    <xdr:to>
      <xdr:col>2</xdr:col>
      <xdr:colOff>2084921</xdr:colOff>
      <xdr:row>2</xdr:row>
      <xdr:rowOff>13567</xdr:rowOff>
    </xdr:to>
    <xdr:sp macro="" textlink="">
      <xdr:nvSpPr>
        <xdr:cNvPr id="3" name="Retângulo 2">
          <a:extLst>
            <a:ext uri="{FF2B5EF4-FFF2-40B4-BE49-F238E27FC236}"/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REGISTRO</a:t>
          </a:r>
        </a:p>
      </xdr:txBody>
    </xdr:sp>
    <xdr:clientData/>
  </xdr:twoCellAnchor>
  <xdr:twoCellAnchor editAs="absolute">
    <xdr:from>
      <xdr:col>3</xdr:col>
      <xdr:colOff>3608908</xdr:colOff>
      <xdr:row>0</xdr:row>
      <xdr:rowOff>0</xdr:rowOff>
    </xdr:from>
    <xdr:to>
      <xdr:col>3</xdr:col>
      <xdr:colOff>4650307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2</xdr:col>
      <xdr:colOff>1142999</xdr:colOff>
      <xdr:row>0</xdr:row>
      <xdr:rowOff>0</xdr:rowOff>
    </xdr:from>
    <xdr:to>
      <xdr:col>2</xdr:col>
      <xdr:colOff>2296584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2</xdr:col>
      <xdr:colOff>2321982</xdr:colOff>
      <xdr:row>0</xdr:row>
      <xdr:rowOff>0</xdr:rowOff>
    </xdr:from>
    <xdr:to>
      <xdr:col>3</xdr:col>
      <xdr:colOff>454722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3</xdr:col>
      <xdr:colOff>452965</xdr:colOff>
      <xdr:row>0</xdr:row>
      <xdr:rowOff>0</xdr:rowOff>
    </xdr:from>
    <xdr:to>
      <xdr:col>3</xdr:col>
      <xdr:colOff>1504947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3</xdr:col>
      <xdr:colOff>1504948</xdr:colOff>
      <xdr:row>0</xdr:row>
      <xdr:rowOff>0</xdr:rowOff>
    </xdr:from>
    <xdr:to>
      <xdr:col>3</xdr:col>
      <xdr:colOff>2546347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3</xdr:col>
      <xdr:colOff>2567514</xdr:colOff>
      <xdr:row>0</xdr:row>
      <xdr:rowOff>0</xdr:rowOff>
    </xdr:from>
    <xdr:to>
      <xdr:col>3</xdr:col>
      <xdr:colOff>3608913</xdr:colOff>
      <xdr:row>1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783158</xdr:colOff>
      <xdr:row>0</xdr:row>
      <xdr:rowOff>0</xdr:rowOff>
    </xdr:from>
    <xdr:to>
      <xdr:col>7</xdr:col>
      <xdr:colOff>639224</xdr:colOff>
      <xdr:row>1</xdr:row>
      <xdr:rowOff>2910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433915</xdr:colOff>
      <xdr:row>0</xdr:row>
      <xdr:rowOff>0</xdr:rowOff>
    </xdr:from>
    <xdr:to>
      <xdr:col>3</xdr:col>
      <xdr:colOff>1587500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3</xdr:col>
      <xdr:colOff>1612898</xdr:colOff>
      <xdr:row>0</xdr:row>
      <xdr:rowOff>0</xdr:rowOff>
    </xdr:from>
    <xdr:to>
      <xdr:col>4</xdr:col>
      <xdr:colOff>973306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4</xdr:col>
      <xdr:colOff>971549</xdr:colOff>
      <xdr:row>0</xdr:row>
      <xdr:rowOff>0</xdr:rowOff>
    </xdr:from>
    <xdr:to>
      <xdr:col>4</xdr:col>
      <xdr:colOff>2023531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4</xdr:col>
      <xdr:colOff>2023532</xdr:colOff>
      <xdr:row>0</xdr:row>
      <xdr:rowOff>0</xdr:rowOff>
    </xdr:from>
    <xdr:to>
      <xdr:col>5</xdr:col>
      <xdr:colOff>1011764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5</xdr:col>
      <xdr:colOff>1032931</xdr:colOff>
      <xdr:row>0</xdr:row>
      <xdr:rowOff>0</xdr:rowOff>
    </xdr:from>
    <xdr:to>
      <xdr:col>6</xdr:col>
      <xdr:colOff>783163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  <xdr:twoCellAnchor editAs="absolute">
    <xdr:from>
      <xdr:col>2</xdr:col>
      <xdr:colOff>323855</xdr:colOff>
      <xdr:row>1</xdr:row>
      <xdr:rowOff>2116</xdr:rowOff>
    </xdr:from>
    <xdr:to>
      <xdr:col>3</xdr:col>
      <xdr:colOff>1615017</xdr:colOff>
      <xdr:row>1</xdr:row>
      <xdr:rowOff>341650</xdr:rowOff>
    </xdr:to>
    <xdr:sp macro="" textlink="">
      <xdr:nvSpPr>
        <xdr:cNvPr id="2" name="Retângulo 1">
          <a:extLst>
            <a:ext uri="{FF2B5EF4-FFF2-40B4-BE49-F238E27FC236}"/>
          </a:extLst>
        </xdr:cNvPr>
        <xdr:cNvSpPr/>
      </xdr:nvSpPr>
      <xdr:spPr>
        <a:xfrm>
          <a:off x="747188" y="499533"/>
          <a:ext cx="1841496" cy="33953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FALHAS,</a:t>
          </a:r>
          <a:r>
            <a:rPr lang="pt-BR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EFEITOS E 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359838</xdr:colOff>
      <xdr:row>1</xdr:row>
      <xdr:rowOff>0</xdr:rowOff>
    </xdr:from>
    <xdr:to>
      <xdr:col>5</xdr:col>
      <xdr:colOff>275171</xdr:colOff>
      <xdr:row>1</xdr:row>
      <xdr:rowOff>299317</xdr:rowOff>
    </xdr:to>
    <xdr:sp macro="" textlink="">
      <xdr:nvSpPr>
        <xdr:cNvPr id="2" name="Retângulo 1">
          <a:extLst>
            <a:ext uri="{FF2B5EF4-FFF2-40B4-BE49-F238E27FC236}"/>
          </a:extLst>
        </xdr:cNvPr>
        <xdr:cNvSpPr/>
      </xdr:nvSpPr>
      <xdr:spPr>
        <a:xfrm>
          <a:off x="1100671" y="49741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MATRIZ</a:t>
          </a:r>
        </a:p>
      </xdr:txBody>
    </xdr:sp>
    <xdr:clientData/>
  </xdr:twoCellAnchor>
  <xdr:twoCellAnchor editAs="absolute">
    <xdr:from>
      <xdr:col>12</xdr:col>
      <xdr:colOff>402158</xdr:colOff>
      <xdr:row>0</xdr:row>
      <xdr:rowOff>0</xdr:rowOff>
    </xdr:from>
    <xdr:to>
      <xdr:col>14</xdr:col>
      <xdr:colOff>215891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666749</xdr:colOff>
      <xdr:row>0</xdr:row>
      <xdr:rowOff>0</xdr:rowOff>
    </xdr:from>
    <xdr:to>
      <xdr:col>5</xdr:col>
      <xdr:colOff>486834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5</xdr:col>
      <xdr:colOff>512232</xdr:colOff>
      <xdr:row>0</xdr:row>
      <xdr:rowOff>0</xdr:rowOff>
    </xdr:from>
    <xdr:to>
      <xdr:col>7</xdr:col>
      <xdr:colOff>317139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7</xdr:col>
      <xdr:colOff>315382</xdr:colOff>
      <xdr:row>0</xdr:row>
      <xdr:rowOff>0</xdr:rowOff>
    </xdr:from>
    <xdr:to>
      <xdr:col>9</xdr:col>
      <xdr:colOff>139697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9</xdr:col>
      <xdr:colOff>139698</xdr:colOff>
      <xdr:row>0</xdr:row>
      <xdr:rowOff>0</xdr:rowOff>
    </xdr:from>
    <xdr:to>
      <xdr:col>10</xdr:col>
      <xdr:colOff>567264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10</xdr:col>
      <xdr:colOff>588431</xdr:colOff>
      <xdr:row>0</xdr:row>
      <xdr:rowOff>0</xdr:rowOff>
    </xdr:from>
    <xdr:to>
      <xdr:col>12</xdr:col>
      <xdr:colOff>402163</xdr:colOff>
      <xdr:row>1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698504</xdr:colOff>
      <xdr:row>1</xdr:row>
      <xdr:rowOff>0</xdr:rowOff>
    </xdr:from>
    <xdr:to>
      <xdr:col>2</xdr:col>
      <xdr:colOff>1947337</xdr:colOff>
      <xdr:row>1</xdr:row>
      <xdr:rowOff>299317</xdr:rowOff>
    </xdr:to>
    <xdr:sp macro="" textlink="">
      <xdr:nvSpPr>
        <xdr:cNvPr id="2" name="Retângulo 1">
          <a:extLst>
            <a:ext uri="{FF2B5EF4-FFF2-40B4-BE49-F238E27FC236}"/>
          </a:extLst>
        </xdr:cNvPr>
        <xdr:cNvSpPr/>
      </xdr:nvSpPr>
      <xdr:spPr>
        <a:xfrm>
          <a:off x="1100671" y="49741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CONTROLE</a:t>
          </a:r>
        </a:p>
      </xdr:txBody>
    </xdr:sp>
    <xdr:clientData/>
  </xdr:twoCellAnchor>
  <xdr:twoCellAnchor editAs="absolute">
    <xdr:from>
      <xdr:col>5</xdr:col>
      <xdr:colOff>126992</xdr:colOff>
      <xdr:row>0</xdr:row>
      <xdr:rowOff>0</xdr:rowOff>
    </xdr:from>
    <xdr:to>
      <xdr:col>6</xdr:col>
      <xdr:colOff>247641</xdr:colOff>
      <xdr:row>1</xdr:row>
      <xdr:rowOff>2910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2</xdr:col>
      <xdr:colOff>1005415</xdr:colOff>
      <xdr:row>0</xdr:row>
      <xdr:rowOff>0</xdr:rowOff>
    </xdr:from>
    <xdr:to>
      <xdr:col>2</xdr:col>
      <xdr:colOff>2159000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2</xdr:col>
      <xdr:colOff>2184398</xdr:colOff>
      <xdr:row>0</xdr:row>
      <xdr:rowOff>0</xdr:rowOff>
    </xdr:from>
    <xdr:to>
      <xdr:col>3</xdr:col>
      <xdr:colOff>412389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3</xdr:col>
      <xdr:colOff>410632</xdr:colOff>
      <xdr:row>0</xdr:row>
      <xdr:rowOff>0</xdr:rowOff>
    </xdr:from>
    <xdr:to>
      <xdr:col>3</xdr:col>
      <xdr:colOff>1462614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3</xdr:col>
      <xdr:colOff>1462615</xdr:colOff>
      <xdr:row>0</xdr:row>
      <xdr:rowOff>0</xdr:rowOff>
    </xdr:from>
    <xdr:to>
      <xdr:col>3</xdr:col>
      <xdr:colOff>2504014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4</xdr:col>
      <xdr:colOff>6348</xdr:colOff>
      <xdr:row>0</xdr:row>
      <xdr:rowOff>0</xdr:rowOff>
    </xdr:from>
    <xdr:to>
      <xdr:col>5</xdr:col>
      <xdr:colOff>126997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867838</xdr:colOff>
      <xdr:row>1</xdr:row>
      <xdr:rowOff>0</xdr:rowOff>
    </xdr:from>
    <xdr:to>
      <xdr:col>3</xdr:col>
      <xdr:colOff>116421</xdr:colOff>
      <xdr:row>1</xdr:row>
      <xdr:rowOff>299317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/>
          </a:extLst>
        </xdr:cNvPr>
        <xdr:cNvSpPr/>
      </xdr:nvSpPr>
      <xdr:spPr>
        <a:xfrm>
          <a:off x="1100671" y="49741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FMEA</a:t>
          </a:r>
        </a:p>
      </xdr:txBody>
    </xdr:sp>
    <xdr:clientData/>
  </xdr:twoCellAnchor>
  <xdr:twoCellAnchor editAs="absolute">
    <xdr:from>
      <xdr:col>3</xdr:col>
      <xdr:colOff>139705</xdr:colOff>
      <xdr:row>0</xdr:row>
      <xdr:rowOff>495300</xdr:rowOff>
    </xdr:from>
    <xdr:to>
      <xdr:col>3</xdr:col>
      <xdr:colOff>1555750</xdr:colOff>
      <xdr:row>1</xdr:row>
      <xdr:rowOff>297200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/>
          </a:extLst>
        </xdr:cNvPr>
        <xdr:cNvSpPr/>
      </xdr:nvSpPr>
      <xdr:spPr>
        <a:xfrm>
          <a:off x="2372788" y="495300"/>
          <a:ext cx="1416045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AÇÕES CORRETIVAS</a:t>
          </a:r>
        </a:p>
      </xdr:txBody>
    </xdr:sp>
    <xdr:clientData/>
  </xdr:twoCellAnchor>
  <xdr:twoCellAnchor editAs="absolute">
    <xdr:from>
      <xdr:col>6</xdr:col>
      <xdr:colOff>211658</xdr:colOff>
      <xdr:row>0</xdr:row>
      <xdr:rowOff>0</xdr:rowOff>
    </xdr:from>
    <xdr:to>
      <xdr:col>6</xdr:col>
      <xdr:colOff>1253057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2</xdr:col>
      <xdr:colOff>1174749</xdr:colOff>
      <xdr:row>0</xdr:row>
      <xdr:rowOff>0</xdr:rowOff>
    </xdr:from>
    <xdr:to>
      <xdr:col>3</xdr:col>
      <xdr:colOff>328084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3</xdr:col>
      <xdr:colOff>353482</xdr:colOff>
      <xdr:row>0</xdr:row>
      <xdr:rowOff>0</xdr:rowOff>
    </xdr:from>
    <xdr:to>
      <xdr:col>3</xdr:col>
      <xdr:colOff>1386056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3</xdr:col>
      <xdr:colOff>1384299</xdr:colOff>
      <xdr:row>0</xdr:row>
      <xdr:rowOff>0</xdr:rowOff>
    </xdr:from>
    <xdr:to>
      <xdr:col>4</xdr:col>
      <xdr:colOff>414864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4</xdr:col>
      <xdr:colOff>414865</xdr:colOff>
      <xdr:row>0</xdr:row>
      <xdr:rowOff>0</xdr:rowOff>
    </xdr:from>
    <xdr:to>
      <xdr:col>5</xdr:col>
      <xdr:colOff>800097</xdr:colOff>
      <xdr:row>1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5</xdr:col>
      <xdr:colOff>821264</xdr:colOff>
      <xdr:row>0</xdr:row>
      <xdr:rowOff>0</xdr:rowOff>
    </xdr:from>
    <xdr:to>
      <xdr:col>6</xdr:col>
      <xdr:colOff>211663</xdr:colOff>
      <xdr:row>1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  <xdr:twoCellAnchor>
    <xdr:from>
      <xdr:col>6</xdr:col>
      <xdr:colOff>114300</xdr:colOff>
      <xdr:row>2</xdr:row>
      <xdr:rowOff>19050</xdr:rowOff>
    </xdr:from>
    <xdr:to>
      <xdr:col>9</xdr:col>
      <xdr:colOff>1314450</xdr:colOff>
      <xdr:row>7</xdr:row>
      <xdr:rowOff>609600</xdr:rowOff>
    </xdr:to>
    <xdr:graphicFrame macro="">
      <xdr:nvGraphicFramePr>
        <xdr:cNvPr id="528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9525</xdr:rowOff>
    </xdr:from>
    <xdr:to>
      <xdr:col>3</xdr:col>
      <xdr:colOff>264587</xdr:colOff>
      <xdr:row>1</xdr:row>
      <xdr:rowOff>308842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/>
          </a:extLst>
        </xdr:cNvPr>
        <xdr:cNvSpPr/>
      </xdr:nvSpPr>
      <xdr:spPr>
        <a:xfrm>
          <a:off x="1100671" y="506942"/>
          <a:ext cx="1248833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3</xdr:col>
      <xdr:colOff>287871</xdr:colOff>
      <xdr:row>1</xdr:row>
      <xdr:rowOff>7408</xdr:rowOff>
    </xdr:from>
    <xdr:to>
      <xdr:col>4</xdr:col>
      <xdr:colOff>825500</xdr:colOff>
      <xdr:row>1</xdr:row>
      <xdr:rowOff>306725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/>
          </a:extLst>
        </xdr:cNvPr>
        <xdr:cNvSpPr/>
      </xdr:nvSpPr>
      <xdr:spPr>
        <a:xfrm>
          <a:off x="2372788" y="504825"/>
          <a:ext cx="1405462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AÇÕES CORRETIVAS</a:t>
          </a:r>
        </a:p>
      </xdr:txBody>
    </xdr:sp>
    <xdr:clientData/>
  </xdr:twoCellAnchor>
  <xdr:twoCellAnchor editAs="absolute">
    <xdr:from>
      <xdr:col>8</xdr:col>
      <xdr:colOff>349242</xdr:colOff>
      <xdr:row>0</xdr:row>
      <xdr:rowOff>0</xdr:rowOff>
    </xdr:from>
    <xdr:to>
      <xdr:col>9</xdr:col>
      <xdr:colOff>522807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2</xdr:col>
      <xdr:colOff>1142999</xdr:colOff>
      <xdr:row>0</xdr:row>
      <xdr:rowOff>0</xdr:rowOff>
    </xdr:from>
    <xdr:to>
      <xdr:col>3</xdr:col>
      <xdr:colOff>476250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3</xdr:col>
      <xdr:colOff>501648</xdr:colOff>
      <xdr:row>0</xdr:row>
      <xdr:rowOff>0</xdr:rowOff>
    </xdr:from>
    <xdr:to>
      <xdr:col>4</xdr:col>
      <xdr:colOff>666389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4</xdr:col>
      <xdr:colOff>664632</xdr:colOff>
      <xdr:row>0</xdr:row>
      <xdr:rowOff>0</xdr:rowOff>
    </xdr:from>
    <xdr:to>
      <xdr:col>5</xdr:col>
      <xdr:colOff>848781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5</xdr:col>
      <xdr:colOff>848782</xdr:colOff>
      <xdr:row>0</xdr:row>
      <xdr:rowOff>0</xdr:rowOff>
    </xdr:from>
    <xdr:to>
      <xdr:col>7</xdr:col>
      <xdr:colOff>154514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7</xdr:col>
      <xdr:colOff>175681</xdr:colOff>
      <xdr:row>0</xdr:row>
      <xdr:rowOff>0</xdr:rowOff>
    </xdr:from>
    <xdr:to>
      <xdr:col>8</xdr:col>
      <xdr:colOff>349247</xdr:colOff>
      <xdr:row>1</xdr:row>
      <xdr:rowOff>2910</xdr:rowOff>
    </xdr:to>
    <xdr:sp macro="" textlink="">
      <xdr:nvSpPr>
        <xdr:cNvPr id="9" name="Retângulo 8">
          <a:hlinkClick xmlns:r="http://schemas.openxmlformats.org/officeDocument/2006/relationships" r:id="rId8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  <xdr:twoCellAnchor>
    <xdr:from>
      <xdr:col>2</xdr:col>
      <xdr:colOff>0</xdr:colOff>
      <xdr:row>7</xdr:row>
      <xdr:rowOff>85725</xdr:rowOff>
    </xdr:from>
    <xdr:to>
      <xdr:col>16</xdr:col>
      <xdr:colOff>0</xdr:colOff>
      <xdr:row>12</xdr:row>
      <xdr:rowOff>180975</xdr:rowOff>
    </xdr:to>
    <xdr:graphicFrame macro="">
      <xdr:nvGraphicFramePr>
        <xdr:cNvPr id="6301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1</xdr:row>
      <xdr:rowOff>0</xdr:rowOff>
    </xdr:from>
    <xdr:to>
      <xdr:col>3</xdr:col>
      <xdr:colOff>1058337</xdr:colOff>
      <xdr:row>1</xdr:row>
      <xdr:rowOff>299317</xdr:rowOff>
    </xdr:to>
    <xdr:sp macro="" textlink="">
      <xdr:nvSpPr>
        <xdr:cNvPr id="2" name="Retângulo 1">
          <a:extLst>
            <a:ext uri="{FF2B5EF4-FFF2-40B4-BE49-F238E27FC236}"/>
          </a:extLst>
        </xdr:cNvPr>
        <xdr:cNvSpPr/>
      </xdr:nvSpPr>
      <xdr:spPr>
        <a:xfrm>
          <a:off x="1100671" y="49741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FMEA</a:t>
          </a:r>
        </a:p>
      </xdr:txBody>
    </xdr:sp>
    <xdr:clientData/>
  </xdr:twoCellAnchor>
  <xdr:twoCellAnchor editAs="absolute">
    <xdr:from>
      <xdr:col>8</xdr:col>
      <xdr:colOff>709075</xdr:colOff>
      <xdr:row>0</xdr:row>
      <xdr:rowOff>0</xdr:rowOff>
    </xdr:from>
    <xdr:to>
      <xdr:col>9</xdr:col>
      <xdr:colOff>522807</xdr:colOff>
      <xdr:row>1</xdr:row>
      <xdr:rowOff>2910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/>
          </a:extLst>
        </xdr:cNvPr>
        <xdr:cNvSpPr>
          <a:spLocks/>
        </xdr:cNvSpPr>
      </xdr:nvSpPr>
      <xdr:spPr>
        <a:xfrm>
          <a:off x="6773325" y="0"/>
          <a:ext cx="1041399" cy="50032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3</xdr:col>
      <xdr:colOff>116415</xdr:colOff>
      <xdr:row>0</xdr:row>
      <xdr:rowOff>0</xdr:rowOff>
    </xdr:from>
    <xdr:to>
      <xdr:col>4</xdr:col>
      <xdr:colOff>148167</xdr:colOff>
      <xdr:row>1</xdr:row>
      <xdr:rowOff>2910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/>
          </a:extLst>
        </xdr:cNvPr>
        <xdr:cNvSpPr>
          <a:spLocks/>
        </xdr:cNvSpPr>
      </xdr:nvSpPr>
      <xdr:spPr>
        <a:xfrm>
          <a:off x="1407582" y="0"/>
          <a:ext cx="1153585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PLANEJAMENTO</a:t>
          </a:r>
        </a:p>
      </xdr:txBody>
    </xdr:sp>
    <xdr:clientData/>
  </xdr:twoCellAnchor>
  <xdr:twoCellAnchor editAs="absolute">
    <xdr:from>
      <xdr:col>4</xdr:col>
      <xdr:colOff>173565</xdr:colOff>
      <xdr:row>0</xdr:row>
      <xdr:rowOff>0</xdr:rowOff>
    </xdr:from>
    <xdr:to>
      <xdr:col>5</xdr:col>
      <xdr:colOff>84306</xdr:colOff>
      <xdr:row>1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/>
          </a:extLst>
        </xdr:cNvPr>
        <xdr:cNvSpPr>
          <a:spLocks/>
        </xdr:cNvSpPr>
      </xdr:nvSpPr>
      <xdr:spPr>
        <a:xfrm>
          <a:off x="2586565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FMEA</a:t>
          </a:r>
        </a:p>
      </xdr:txBody>
    </xdr:sp>
    <xdr:clientData/>
  </xdr:twoCellAnchor>
  <xdr:twoCellAnchor editAs="absolute">
    <xdr:from>
      <xdr:col>5</xdr:col>
      <xdr:colOff>82549</xdr:colOff>
      <xdr:row>0</xdr:row>
      <xdr:rowOff>0</xdr:rowOff>
    </xdr:from>
    <xdr:to>
      <xdr:col>6</xdr:col>
      <xdr:colOff>922864</xdr:colOff>
      <xdr:row>1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/>
          </a:extLst>
        </xdr:cNvPr>
        <xdr:cNvSpPr>
          <a:spLocks/>
        </xdr:cNvSpPr>
      </xdr:nvSpPr>
      <xdr:spPr>
        <a:xfrm>
          <a:off x="3617382" y="0"/>
          <a:ext cx="1051982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AÇÕES CORRETIVAS</a:t>
          </a:r>
        </a:p>
      </xdr:txBody>
    </xdr:sp>
    <xdr:clientData/>
  </xdr:twoCellAnchor>
  <xdr:twoCellAnchor editAs="absolute">
    <xdr:from>
      <xdr:col>6</xdr:col>
      <xdr:colOff>922865</xdr:colOff>
      <xdr:row>0</xdr:row>
      <xdr:rowOff>0</xdr:rowOff>
    </xdr:from>
    <xdr:to>
      <xdr:col>7</xdr:col>
      <xdr:colOff>736597</xdr:colOff>
      <xdr:row>1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/>
          </a:extLst>
        </xdr:cNvPr>
        <xdr:cNvSpPr>
          <a:spLocks/>
        </xdr:cNvSpPr>
      </xdr:nvSpPr>
      <xdr:spPr>
        <a:xfrm>
          <a:off x="4669365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MATRIZ DE PRIORIDADES</a:t>
          </a:r>
        </a:p>
      </xdr:txBody>
    </xdr:sp>
    <xdr:clientData/>
  </xdr:twoCellAnchor>
  <xdr:twoCellAnchor editAs="absolute">
    <xdr:from>
      <xdr:col>7</xdr:col>
      <xdr:colOff>757764</xdr:colOff>
      <xdr:row>0</xdr:row>
      <xdr:rowOff>0</xdr:rowOff>
    </xdr:from>
    <xdr:to>
      <xdr:col>8</xdr:col>
      <xdr:colOff>709080</xdr:colOff>
      <xdr:row>1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/>
          </a:extLst>
        </xdr:cNvPr>
        <xdr:cNvSpPr>
          <a:spLocks/>
        </xdr:cNvSpPr>
      </xdr:nvSpPr>
      <xdr:spPr>
        <a:xfrm>
          <a:off x="5731931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RELATÓRIOS</a:t>
          </a:r>
        </a:p>
      </xdr:txBody>
    </xdr:sp>
    <xdr:clientData/>
  </xdr:twoCellAnchor>
  <xdr:twoCellAnchor>
    <xdr:from>
      <xdr:col>5</xdr:col>
      <xdr:colOff>133350</xdr:colOff>
      <xdr:row>2</xdr:row>
      <xdr:rowOff>161925</xdr:rowOff>
    </xdr:from>
    <xdr:to>
      <xdr:col>8</xdr:col>
      <xdr:colOff>133350</xdr:colOff>
      <xdr:row>10</xdr:row>
      <xdr:rowOff>495300</xdr:rowOff>
    </xdr:to>
    <xdr:graphicFrame macro="">
      <xdr:nvGraphicFramePr>
        <xdr:cNvPr id="7348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57150</xdr:colOff>
      <xdr:row>2</xdr:row>
      <xdr:rowOff>161925</xdr:rowOff>
    </xdr:from>
    <xdr:to>
      <xdr:col>9</xdr:col>
      <xdr:colOff>1266825</xdr:colOff>
      <xdr:row>10</xdr:row>
      <xdr:rowOff>495300</xdr:rowOff>
    </xdr:to>
    <xdr:graphicFrame macro="">
      <xdr:nvGraphicFramePr>
        <xdr:cNvPr id="7349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1133475</xdr:colOff>
      <xdr:row>2</xdr:row>
      <xdr:rowOff>171450</xdr:rowOff>
    </xdr:from>
    <xdr:to>
      <xdr:col>12</xdr:col>
      <xdr:colOff>257175</xdr:colOff>
      <xdr:row>10</xdr:row>
      <xdr:rowOff>504825</xdr:rowOff>
    </xdr:to>
    <xdr:graphicFrame macro="">
      <xdr:nvGraphicFramePr>
        <xdr:cNvPr id="7350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180975</xdr:colOff>
      <xdr:row>2</xdr:row>
      <xdr:rowOff>123825</xdr:rowOff>
    </xdr:from>
    <xdr:to>
      <xdr:col>15</xdr:col>
      <xdr:colOff>38100</xdr:colOff>
      <xdr:row>10</xdr:row>
      <xdr:rowOff>504825</xdr:rowOff>
    </xdr:to>
    <xdr:graphicFrame macro="">
      <xdr:nvGraphicFramePr>
        <xdr:cNvPr id="7351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123824</xdr:colOff>
      <xdr:row>0</xdr:row>
      <xdr:rowOff>0</xdr:rowOff>
    </xdr:from>
    <xdr:to>
      <xdr:col>14</xdr:col>
      <xdr:colOff>581023</xdr:colOff>
      <xdr:row>5</xdr:row>
      <xdr:rowOff>838200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elo Fontana Brito de Carvalho" refreshedDate="43201.878832523151" createdVersion="3" refreshedVersion="3" recordCount="50">
  <cacheSource type="worksheet">
    <worksheetSource ref="C4:K54" sheet="FMEA"/>
  </cacheSource>
  <cacheFields count="9">
    <cacheField name="Id." numFmtId="0">
      <sharedItems containsSemiMixedTypes="0" containsString="0" containsNumber="1" containsInteger="1" minValue="1" maxValue="50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</sharedItems>
    </cacheField>
    <cacheField name="Modo de Falha" numFmtId="0">
      <sharedItems containsBlank="1" count="6">
        <s v="Sistema não funciona"/>
        <s v="Emplacamento incorreto"/>
        <s v="Despedício de insumos"/>
        <s v="Atraso na entrega do doc"/>
        <s v="Falta de intr. Motoboy"/>
        <m/>
      </sharedItems>
    </cacheField>
    <cacheField name="Efeito Potencial da Falha" numFmtId="0">
      <sharedItems containsBlank="1" count="6">
        <s v="Atraso na produção"/>
        <s v="Perda de qualidade do produto"/>
        <s v="Aumento de custo"/>
        <s v="Pgto. Adicional de despesas"/>
        <s v="Não realizar a entrega/retirada"/>
        <m/>
      </sharedItems>
    </cacheField>
    <cacheField name="Possibilidade de Ocorrência" numFmtId="0">
      <sharedItems containsString="0" containsBlank="1" containsNumber="1" containsInteger="1" minValue="1" maxValue="7"/>
    </cacheField>
    <cacheField name="Severidade da Falha" numFmtId="0">
      <sharedItems containsString="0" containsBlank="1" containsNumber="1" containsInteger="1" minValue="1" maxValue="9"/>
    </cacheField>
    <cacheField name="Possibilidade de Detecção" numFmtId="0">
      <sharedItems containsString="0" containsBlank="1" containsNumber="1" containsInteger="1" minValue="1" maxValue="4"/>
    </cacheField>
    <cacheField name="RPN - Risco: (Risk Priority Number)" numFmtId="0">
      <sharedItems containsMixedTypes="1" containsNumber="1" containsInteger="1" minValue="4" maxValue="192"/>
    </cacheField>
    <cacheField name="Classificação" numFmtId="0">
      <sharedItems/>
    </cacheField>
    <cacheField name="Ação Corretiva Planejada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n v="1"/>
    <n v="8"/>
    <n v="2"/>
    <n v="16"/>
    <s v="Risco Baixo"/>
    <s v="Verificação do sistema de corte"/>
  </r>
  <r>
    <x v="1"/>
    <x v="1"/>
    <x v="1"/>
    <n v="7"/>
    <n v="9"/>
    <n v="2"/>
    <n v="126"/>
    <s v="Risco Crítico"/>
    <s v="Avaliação da precisão da máquina"/>
  </r>
  <r>
    <x v="2"/>
    <x v="2"/>
    <x v="2"/>
    <n v="3"/>
    <n v="1"/>
    <n v="4"/>
    <n v="12"/>
    <s v="Risco Baixo"/>
    <s v="Diminuir insumos usados"/>
  </r>
  <r>
    <x v="3"/>
    <x v="3"/>
    <x v="3"/>
    <n v="1"/>
    <n v="4"/>
    <n v="1"/>
    <n v="4"/>
    <s v="Risco Baixo"/>
    <s v="Agendar manutenções preventivas"/>
  </r>
  <r>
    <x v="4"/>
    <x v="4"/>
    <x v="4"/>
    <n v="6"/>
    <n v="8"/>
    <n v="4"/>
    <n v="192"/>
    <s v="Risco Elevado"/>
    <s v="Calibrar sistema de corte"/>
  </r>
  <r>
    <x v="5"/>
    <x v="5"/>
    <x v="5"/>
    <m/>
    <m/>
    <m/>
    <s v=""/>
    <s v=""/>
    <m/>
  </r>
  <r>
    <x v="6"/>
    <x v="5"/>
    <x v="5"/>
    <m/>
    <m/>
    <m/>
    <s v=""/>
    <s v=""/>
    <m/>
  </r>
  <r>
    <x v="7"/>
    <x v="5"/>
    <x v="5"/>
    <m/>
    <m/>
    <m/>
    <s v=""/>
    <s v=""/>
    <m/>
  </r>
  <r>
    <x v="8"/>
    <x v="5"/>
    <x v="5"/>
    <m/>
    <m/>
    <m/>
    <s v=""/>
    <s v=""/>
    <m/>
  </r>
  <r>
    <x v="9"/>
    <x v="5"/>
    <x v="5"/>
    <m/>
    <m/>
    <m/>
    <s v=""/>
    <s v=""/>
    <m/>
  </r>
  <r>
    <x v="10"/>
    <x v="5"/>
    <x v="5"/>
    <m/>
    <m/>
    <m/>
    <s v=""/>
    <s v=""/>
    <m/>
  </r>
  <r>
    <x v="11"/>
    <x v="5"/>
    <x v="5"/>
    <m/>
    <m/>
    <m/>
    <s v=""/>
    <s v=""/>
    <m/>
  </r>
  <r>
    <x v="12"/>
    <x v="5"/>
    <x v="5"/>
    <m/>
    <m/>
    <m/>
    <s v=""/>
    <s v=""/>
    <m/>
  </r>
  <r>
    <x v="13"/>
    <x v="5"/>
    <x v="5"/>
    <m/>
    <m/>
    <m/>
    <s v=""/>
    <s v=""/>
    <m/>
  </r>
  <r>
    <x v="14"/>
    <x v="5"/>
    <x v="5"/>
    <m/>
    <m/>
    <m/>
    <s v=""/>
    <s v=""/>
    <m/>
  </r>
  <r>
    <x v="15"/>
    <x v="5"/>
    <x v="5"/>
    <m/>
    <m/>
    <m/>
    <s v=""/>
    <s v=""/>
    <m/>
  </r>
  <r>
    <x v="16"/>
    <x v="5"/>
    <x v="5"/>
    <m/>
    <m/>
    <m/>
    <s v=""/>
    <s v=""/>
    <m/>
  </r>
  <r>
    <x v="17"/>
    <x v="5"/>
    <x v="5"/>
    <m/>
    <m/>
    <m/>
    <s v=""/>
    <s v=""/>
    <m/>
  </r>
  <r>
    <x v="18"/>
    <x v="5"/>
    <x v="5"/>
    <m/>
    <m/>
    <m/>
    <s v=""/>
    <s v=""/>
    <m/>
  </r>
  <r>
    <x v="19"/>
    <x v="5"/>
    <x v="5"/>
    <m/>
    <m/>
    <m/>
    <s v=""/>
    <s v=""/>
    <m/>
  </r>
  <r>
    <x v="20"/>
    <x v="5"/>
    <x v="5"/>
    <m/>
    <m/>
    <m/>
    <s v=""/>
    <s v=""/>
    <m/>
  </r>
  <r>
    <x v="21"/>
    <x v="5"/>
    <x v="5"/>
    <m/>
    <m/>
    <m/>
    <s v=""/>
    <s v=""/>
    <m/>
  </r>
  <r>
    <x v="22"/>
    <x v="5"/>
    <x v="5"/>
    <m/>
    <m/>
    <m/>
    <s v=""/>
    <s v=""/>
    <m/>
  </r>
  <r>
    <x v="23"/>
    <x v="5"/>
    <x v="5"/>
    <m/>
    <m/>
    <m/>
    <s v=""/>
    <s v=""/>
    <m/>
  </r>
  <r>
    <x v="24"/>
    <x v="5"/>
    <x v="5"/>
    <m/>
    <m/>
    <m/>
    <s v=""/>
    <s v=""/>
    <m/>
  </r>
  <r>
    <x v="25"/>
    <x v="5"/>
    <x v="5"/>
    <m/>
    <m/>
    <m/>
    <s v=""/>
    <s v=""/>
    <m/>
  </r>
  <r>
    <x v="26"/>
    <x v="5"/>
    <x v="5"/>
    <m/>
    <m/>
    <m/>
    <s v=""/>
    <s v=""/>
    <m/>
  </r>
  <r>
    <x v="27"/>
    <x v="5"/>
    <x v="5"/>
    <m/>
    <m/>
    <m/>
    <s v=""/>
    <s v=""/>
    <m/>
  </r>
  <r>
    <x v="28"/>
    <x v="5"/>
    <x v="5"/>
    <m/>
    <m/>
    <m/>
    <s v=""/>
    <s v=""/>
    <m/>
  </r>
  <r>
    <x v="29"/>
    <x v="5"/>
    <x v="5"/>
    <m/>
    <m/>
    <m/>
    <s v=""/>
    <s v=""/>
    <m/>
  </r>
  <r>
    <x v="30"/>
    <x v="5"/>
    <x v="5"/>
    <m/>
    <m/>
    <m/>
    <s v=""/>
    <s v=""/>
    <m/>
  </r>
  <r>
    <x v="31"/>
    <x v="5"/>
    <x v="5"/>
    <m/>
    <m/>
    <m/>
    <s v=""/>
    <s v=""/>
    <m/>
  </r>
  <r>
    <x v="32"/>
    <x v="5"/>
    <x v="5"/>
    <m/>
    <m/>
    <m/>
    <s v=""/>
    <s v=""/>
    <m/>
  </r>
  <r>
    <x v="33"/>
    <x v="5"/>
    <x v="5"/>
    <m/>
    <m/>
    <m/>
    <s v=""/>
    <s v=""/>
    <m/>
  </r>
  <r>
    <x v="34"/>
    <x v="5"/>
    <x v="5"/>
    <m/>
    <m/>
    <m/>
    <s v=""/>
    <s v=""/>
    <m/>
  </r>
  <r>
    <x v="35"/>
    <x v="5"/>
    <x v="5"/>
    <m/>
    <m/>
    <m/>
    <s v=""/>
    <s v=""/>
    <m/>
  </r>
  <r>
    <x v="36"/>
    <x v="5"/>
    <x v="5"/>
    <m/>
    <m/>
    <m/>
    <s v=""/>
    <s v=""/>
    <m/>
  </r>
  <r>
    <x v="37"/>
    <x v="5"/>
    <x v="5"/>
    <m/>
    <m/>
    <m/>
    <s v=""/>
    <s v=""/>
    <m/>
  </r>
  <r>
    <x v="38"/>
    <x v="5"/>
    <x v="5"/>
    <m/>
    <m/>
    <m/>
    <s v=""/>
    <s v=""/>
    <m/>
  </r>
  <r>
    <x v="39"/>
    <x v="5"/>
    <x v="5"/>
    <m/>
    <m/>
    <m/>
    <s v=""/>
    <s v=""/>
    <m/>
  </r>
  <r>
    <x v="40"/>
    <x v="5"/>
    <x v="5"/>
    <m/>
    <m/>
    <m/>
    <s v=""/>
    <s v=""/>
    <m/>
  </r>
  <r>
    <x v="41"/>
    <x v="5"/>
    <x v="5"/>
    <m/>
    <m/>
    <m/>
    <s v=""/>
    <s v=""/>
    <m/>
  </r>
  <r>
    <x v="42"/>
    <x v="5"/>
    <x v="5"/>
    <m/>
    <m/>
    <m/>
    <s v=""/>
    <s v=""/>
    <m/>
  </r>
  <r>
    <x v="43"/>
    <x v="5"/>
    <x v="5"/>
    <m/>
    <m/>
    <m/>
    <s v=""/>
    <s v=""/>
    <m/>
  </r>
  <r>
    <x v="44"/>
    <x v="5"/>
    <x v="5"/>
    <m/>
    <m/>
    <m/>
    <s v=""/>
    <s v=""/>
    <m/>
  </r>
  <r>
    <x v="45"/>
    <x v="5"/>
    <x v="5"/>
    <m/>
    <m/>
    <m/>
    <s v=""/>
    <s v=""/>
    <m/>
  </r>
  <r>
    <x v="46"/>
    <x v="5"/>
    <x v="5"/>
    <m/>
    <m/>
    <m/>
    <s v=""/>
    <s v=""/>
    <m/>
  </r>
  <r>
    <x v="47"/>
    <x v="5"/>
    <x v="5"/>
    <m/>
    <m/>
    <m/>
    <s v=""/>
    <s v=""/>
    <m/>
  </r>
  <r>
    <x v="48"/>
    <x v="5"/>
    <x v="5"/>
    <m/>
    <m/>
    <m/>
    <s v=""/>
    <s v=""/>
    <m/>
  </r>
  <r>
    <x v="49"/>
    <x v="5"/>
    <x v="5"/>
    <m/>
    <m/>
    <m/>
    <s v=""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70" dataOnRows="1" applyNumberFormats="0" applyBorderFormats="0" applyFontFormats="0" applyPatternFormats="0" applyAlignmentFormats="0" applyWidthHeightFormats="1" dataCaption="Dados" updatedVersion="3" minRefreshableVersion="3" showMemberPropertyTips="0" useAutoFormatting="1" rowGrandTotals="0" colGrandTotals="0" itemPrintTitles="1" createdVersion="3" indent="0" compact="0" compactData="0" gridDropZones="1">
  <location ref="X44:AA95" firstHeaderRow="2" firstDataRow="2" firstDataCol="3"/>
  <pivotFields count="9">
    <pivotField axis="axisRow" compact="0" outline="0" subtotalTop="0" showAll="0" includeNewItemsInFilter="1" defaultSubtota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</items>
    </pivotField>
    <pivotField axis="axisRow" compact="0" outline="0" subtotalTop="0" showAll="0" measureFilter="1" includeNewItemsInFilter="1" itemPageCount="5" sortType="descending" rankBy="0" defaultSubtotal="0">
      <items count="6">
        <item x="5"/>
        <item x="0"/>
        <item x="4"/>
        <item x="1"/>
        <item x="2"/>
        <item x="3"/>
      </items>
    </pivotField>
    <pivotField axis="axisRow" compact="0" outline="0" subtotalTop="0" showAll="0" includeNewItemsInFilter="1" sortType="descending" defaultSubtotal="0">
      <items count="6">
        <item x="5"/>
        <item x="3"/>
        <item x="1"/>
        <item x="4"/>
        <item x="2"/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0"/>
    <field x="1"/>
    <field x="2"/>
  </rowFields>
  <rowItems count="50">
    <i>
      <x/>
      <x v="1"/>
      <x v="5"/>
    </i>
    <i>
      <x v="1"/>
      <x v="3"/>
      <x v="2"/>
    </i>
    <i>
      <x v="2"/>
      <x v="4"/>
      <x v="4"/>
    </i>
    <i>
      <x v="3"/>
      <x v="5"/>
      <x v="1"/>
    </i>
    <i>
      <x v="4"/>
      <x v="2"/>
      <x v="3"/>
    </i>
    <i>
      <x v="5"/>
      <x/>
      <x/>
    </i>
    <i>
      <x v="6"/>
      <x/>
      <x/>
    </i>
    <i>
      <x v="7"/>
      <x/>
      <x/>
    </i>
    <i>
      <x v="8"/>
      <x/>
      <x/>
    </i>
    <i>
      <x v="9"/>
      <x/>
      <x/>
    </i>
    <i>
      <x v="10"/>
      <x/>
      <x/>
    </i>
    <i>
      <x v="11"/>
      <x/>
      <x/>
    </i>
    <i>
      <x v="12"/>
      <x/>
      <x/>
    </i>
    <i>
      <x v="13"/>
      <x/>
      <x/>
    </i>
    <i>
      <x v="14"/>
      <x/>
      <x/>
    </i>
    <i>
      <x v="15"/>
      <x/>
      <x/>
    </i>
    <i>
      <x v="16"/>
      <x/>
      <x/>
    </i>
    <i>
      <x v="17"/>
      <x/>
      <x/>
    </i>
    <i>
      <x v="18"/>
      <x/>
      <x/>
    </i>
    <i>
      <x v="19"/>
      <x/>
      <x/>
    </i>
    <i>
      <x v="20"/>
      <x/>
      <x/>
    </i>
    <i>
      <x v="21"/>
      <x/>
      <x/>
    </i>
    <i>
      <x v="22"/>
      <x/>
      <x/>
    </i>
    <i>
      <x v="23"/>
      <x/>
      <x/>
    </i>
    <i>
      <x v="24"/>
      <x/>
      <x/>
    </i>
    <i>
      <x v="25"/>
      <x/>
      <x/>
    </i>
    <i>
      <x v="26"/>
      <x/>
      <x/>
    </i>
    <i>
      <x v="27"/>
      <x/>
      <x/>
    </i>
    <i>
      <x v="28"/>
      <x/>
      <x/>
    </i>
    <i>
      <x v="29"/>
      <x/>
      <x/>
    </i>
    <i>
      <x v="30"/>
      <x/>
      <x/>
    </i>
    <i>
      <x v="31"/>
      <x/>
      <x/>
    </i>
    <i>
      <x v="32"/>
      <x/>
      <x/>
    </i>
    <i>
      <x v="33"/>
      <x/>
      <x/>
    </i>
    <i>
      <x v="34"/>
      <x/>
      <x/>
    </i>
    <i>
      <x v="35"/>
      <x/>
      <x/>
    </i>
    <i>
      <x v="36"/>
      <x/>
      <x/>
    </i>
    <i>
      <x v="37"/>
      <x/>
      <x/>
    </i>
    <i>
      <x v="38"/>
      <x/>
      <x/>
    </i>
    <i>
      <x v="39"/>
      <x/>
      <x/>
    </i>
    <i>
      <x v="40"/>
      <x/>
      <x/>
    </i>
    <i>
      <x v="41"/>
      <x/>
      <x/>
    </i>
    <i>
      <x v="42"/>
      <x/>
      <x/>
    </i>
    <i>
      <x v="43"/>
      <x/>
      <x/>
    </i>
    <i>
      <x v="44"/>
      <x/>
      <x/>
    </i>
    <i>
      <x v="45"/>
      <x/>
      <x/>
    </i>
    <i>
      <x v="46"/>
      <x/>
      <x/>
    </i>
    <i>
      <x v="47"/>
      <x/>
      <x/>
    </i>
    <i>
      <x v="48"/>
      <x/>
      <x/>
    </i>
    <i>
      <x v="49"/>
      <x/>
      <x/>
    </i>
  </rowItems>
  <colItems count="1">
    <i/>
  </colItems>
  <dataFields count="1">
    <dataField name="Soma de RPN - Risco: (Risk Priority Number)" fld="6" baseField="0" baseItem="0"/>
  </dataFields>
  <pivotTableStyleInfo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C1:I587"/>
  <sheetViews>
    <sheetView showGridLines="0" tabSelected="1" zoomScale="90" zoomScaleNormal="90" zoomScalePageLayoutView="80" workbookViewId="0"/>
  </sheetViews>
  <sheetFormatPr defaultColWidth="11" defaultRowHeight="15.75"/>
  <cols>
    <col min="1" max="1" width="2.125" style="1" customWidth="1"/>
    <col min="2" max="2" width="1.375" style="1" customWidth="1"/>
    <col min="3" max="3" width="38" style="1" customWidth="1"/>
    <col min="4" max="4" width="74.5" style="1" customWidth="1"/>
    <col min="5" max="5" width="15.75" style="1" customWidth="1"/>
    <col min="6" max="6" width="12.875" style="1" customWidth="1"/>
    <col min="7" max="7" width="13.5" style="1" customWidth="1"/>
    <col min="8" max="8" width="17.375" style="1" customWidth="1"/>
    <col min="9" max="9" width="17.625" style="1" customWidth="1"/>
    <col min="10" max="23" width="10.75" style="1" customWidth="1"/>
    <col min="24" max="16384" width="11" style="1"/>
  </cols>
  <sheetData>
    <row r="1" spans="3:9" s="6" customFormat="1" ht="39" customHeight="1">
      <c r="E1" s="2"/>
    </row>
    <row r="2" spans="3:9" s="56" customFormat="1" ht="30" customHeight="1">
      <c r="C2" s="54"/>
      <c r="D2" s="55"/>
      <c r="E2" s="55"/>
      <c r="F2" s="55"/>
      <c r="G2" s="55"/>
      <c r="H2" s="55"/>
      <c r="I2" s="55"/>
    </row>
    <row r="3" spans="3:9" ht="31.5" customHeight="1" thickBot="1">
      <c r="C3" s="3"/>
      <c r="D3" s="4"/>
      <c r="E3" s="4"/>
      <c r="F3" s="4"/>
      <c r="G3" s="4"/>
      <c r="H3" s="4"/>
      <c r="I3" s="4"/>
    </row>
    <row r="4" spans="3:9" ht="31.5" customHeight="1" thickTop="1" thickBot="1">
      <c r="C4" s="8" t="s">
        <v>8</v>
      </c>
      <c r="D4" s="34"/>
      <c r="E4" s="4"/>
      <c r="F4" s="4"/>
      <c r="G4" s="4"/>
      <c r="H4" s="4"/>
      <c r="I4" s="4"/>
    </row>
    <row r="5" spans="3:9" ht="31.5" customHeight="1" thickTop="1" thickBot="1">
      <c r="C5" s="8" t="s">
        <v>18</v>
      </c>
      <c r="D5" s="34"/>
      <c r="E5" s="4"/>
      <c r="F5" s="4"/>
      <c r="G5" s="4"/>
      <c r="H5" s="4"/>
      <c r="I5" s="4"/>
    </row>
    <row r="6" spans="3:9" ht="31.5" customHeight="1" thickTop="1">
      <c r="C6" s="8" t="s">
        <v>17</v>
      </c>
      <c r="D6" s="34"/>
      <c r="E6" s="4"/>
      <c r="F6" s="4"/>
      <c r="G6" s="4"/>
      <c r="H6" s="4"/>
      <c r="I6" s="4"/>
    </row>
    <row r="7" spans="3:9" ht="19.5" customHeight="1" thickBot="1">
      <c r="C7" s="3"/>
      <c r="D7" s="4"/>
      <c r="E7" s="4"/>
      <c r="F7" s="4"/>
      <c r="G7" s="4"/>
      <c r="H7" s="4"/>
      <c r="I7" s="4"/>
    </row>
    <row r="8" spans="3:9" ht="30" customHeight="1" thickTop="1" thickBot="1">
      <c r="C8" s="8" t="s">
        <v>15</v>
      </c>
      <c r="D8" s="9" t="s">
        <v>0</v>
      </c>
    </row>
    <row r="9" spans="3:9" ht="30" customHeight="1" thickTop="1" thickBot="1">
      <c r="C9" s="8" t="s">
        <v>1</v>
      </c>
      <c r="D9" s="37" t="s">
        <v>75</v>
      </c>
    </row>
    <row r="10" spans="3:9" ht="30" customHeight="1" thickTop="1">
      <c r="C10" s="8" t="s">
        <v>2</v>
      </c>
      <c r="D10" s="37" t="s">
        <v>76</v>
      </c>
    </row>
    <row r="11" spans="3:9" ht="30" customHeight="1"/>
    <row r="12" spans="3:9" ht="30" customHeight="1"/>
    <row r="13" spans="3:9" ht="30" customHeight="1"/>
    <row r="14" spans="3:9" ht="30" customHeight="1"/>
    <row r="15" spans="3:9" ht="30" customHeight="1"/>
    <row r="16" spans="3:9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</sheetData>
  <sheetProtection selectLockedCells="1"/>
  <dataValidations count="1">
    <dataValidation type="list" allowBlank="1" showInputMessage="1" showErrorMessage="1" sqref="D8">
      <formula1>"Sistemas,Processos,Produtos ou Serviços"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>
    <pageSetUpPr fitToPage="1"/>
  </sheetPr>
  <dimension ref="A1:T585"/>
  <sheetViews>
    <sheetView showGridLines="0" zoomScale="90" zoomScaleNormal="90" zoomScalePageLayoutView="80" workbookViewId="0">
      <pane ySplit="4" topLeftCell="A5" activePane="bottomLeft" state="frozen"/>
      <selection pane="bottomLeft" activeCell="C5" sqref="C5:C54"/>
    </sheetView>
  </sheetViews>
  <sheetFormatPr defaultColWidth="11" defaultRowHeight="15.75"/>
  <cols>
    <col min="1" max="1" width="2.875" style="1" bestFit="1" customWidth="1"/>
    <col min="2" max="2" width="2.625" style="1" customWidth="1"/>
    <col min="3" max="3" width="7.25" style="1" bestFit="1" customWidth="1"/>
    <col min="4" max="4" width="21.875" style="1" bestFit="1" customWidth="1"/>
    <col min="5" max="5" width="27" style="1" bestFit="1" customWidth="1"/>
    <col min="6" max="6" width="16.875" style="1" bestFit="1" customWidth="1"/>
    <col min="7" max="7" width="15.5" style="1" bestFit="1" customWidth="1"/>
    <col min="8" max="8" width="14.875" style="1" bestFit="1" customWidth="1"/>
    <col min="9" max="9" width="17.875" style="1" bestFit="1" customWidth="1"/>
    <col min="10" max="10" width="15.125" style="1" bestFit="1" customWidth="1"/>
    <col min="11" max="11" width="30" style="1" bestFit="1" customWidth="1"/>
    <col min="12" max="12" width="10.75" style="14" customWidth="1"/>
    <col min="13" max="13" width="9.875" style="14" bestFit="1" customWidth="1"/>
    <col min="14" max="14" width="12" style="14" bestFit="1" customWidth="1"/>
    <col min="15" max="15" width="48.5" style="14" bestFit="1" customWidth="1"/>
    <col min="16" max="16" width="43.5" style="14" bestFit="1" customWidth="1"/>
    <col min="17" max="17" width="21.625" style="14" bestFit="1" customWidth="1"/>
    <col min="18" max="18" width="26.625" style="14" bestFit="1" customWidth="1"/>
    <col min="19" max="19" width="3.875" style="14" bestFit="1" customWidth="1"/>
    <col min="20" max="20" width="29.625" style="14" bestFit="1" customWidth="1"/>
    <col min="21" max="25" width="10.75" style="1" customWidth="1"/>
    <col min="26" max="16384" width="11" style="1"/>
  </cols>
  <sheetData>
    <row r="1" spans="1:20" s="7" customFormat="1" ht="39" customHeight="1">
      <c r="C1" s="12"/>
      <c r="F1" s="2"/>
      <c r="J1" s="13"/>
      <c r="L1" s="18"/>
      <c r="M1" s="18"/>
      <c r="N1" s="18"/>
      <c r="O1" s="18"/>
      <c r="P1" s="18"/>
      <c r="Q1" s="18"/>
      <c r="R1" s="18"/>
      <c r="S1" s="18"/>
      <c r="T1" s="18"/>
    </row>
    <row r="2" spans="1:20" s="56" customFormat="1" ht="30" customHeight="1">
      <c r="D2" s="54"/>
      <c r="E2" s="55"/>
      <c r="F2" s="55"/>
      <c r="G2" s="55"/>
      <c r="H2" s="55"/>
      <c r="I2" s="55"/>
      <c r="J2" s="55"/>
      <c r="K2" s="55"/>
      <c r="L2" s="57"/>
      <c r="M2" s="57"/>
      <c r="N2" s="57"/>
      <c r="O2" s="57"/>
      <c r="P2" s="57"/>
      <c r="Q2" s="57"/>
      <c r="R2" s="57"/>
      <c r="S2" s="57"/>
      <c r="T2" s="57"/>
    </row>
    <row r="3" spans="1:20" ht="15" customHeight="1" thickBot="1">
      <c r="D3" s="3"/>
      <c r="E3" s="4"/>
      <c r="F3" s="4"/>
      <c r="G3" s="4"/>
      <c r="H3" s="4"/>
      <c r="I3" s="4"/>
      <c r="J3" s="4"/>
      <c r="K3" s="4"/>
    </row>
    <row r="4" spans="1:20" ht="36" customHeight="1" thickTop="1">
      <c r="C4" s="15" t="s">
        <v>26</v>
      </c>
      <c r="D4" s="8" t="s">
        <v>3</v>
      </c>
      <c r="E4" s="8" t="s">
        <v>4</v>
      </c>
      <c r="F4" s="8" t="s">
        <v>5</v>
      </c>
      <c r="G4" s="8" t="s">
        <v>7</v>
      </c>
      <c r="H4" s="8" t="s">
        <v>6</v>
      </c>
      <c r="I4" s="8" t="s">
        <v>49</v>
      </c>
      <c r="J4" s="8" t="s">
        <v>50</v>
      </c>
      <c r="K4" s="8" t="s">
        <v>19</v>
      </c>
      <c r="Q4" s="14">
        <v>3</v>
      </c>
      <c r="R4" s="14">
        <v>4</v>
      </c>
      <c r="S4" s="14">
        <v>8</v>
      </c>
      <c r="T4" s="14">
        <v>11</v>
      </c>
    </row>
    <row r="5" spans="1:20" ht="30" customHeight="1">
      <c r="A5" s="14">
        <v>1</v>
      </c>
      <c r="B5" s="14" t="str">
        <f>CONCATENATE(D5," - ",E5)</f>
        <v>Sistema não funciona - Atraso na produção</v>
      </c>
      <c r="C5" s="17">
        <v>1</v>
      </c>
      <c r="D5" s="35" t="s">
        <v>59</v>
      </c>
      <c r="E5" s="35" t="s">
        <v>58</v>
      </c>
      <c r="F5" s="22">
        <v>1</v>
      </c>
      <c r="G5" s="22">
        <v>8</v>
      </c>
      <c r="H5" s="22">
        <v>2</v>
      </c>
      <c r="I5" s="37">
        <f>IF(F5*G5*H5=0,"",F5*G5*H5)</f>
        <v>16</v>
      </c>
      <c r="J5" s="9" t="str">
        <f t="array" ref="J5">IFERROR(INDEX(Auxiliar!$E$5:$E$430,MATCH(FMEA!G5&amp;FMEA!F5,Auxiliar!$A$5:$A$430&amp;Auxiliar!$B$5:$B$430,0),0),"")</f>
        <v>Risco Baixo</v>
      </c>
      <c r="K5" s="35" t="s">
        <v>63</v>
      </c>
      <c r="M5" s="14">
        <v>5.0000000000000004E-6</v>
      </c>
      <c r="N5" s="14">
        <f>IF(D5="","",I5+M5)</f>
        <v>16.000005000000002</v>
      </c>
      <c r="O5" s="14" t="str">
        <f>IF(D5="","",B5)</f>
        <v>Sistema não funciona - Atraso na produção</v>
      </c>
      <c r="P5" s="14" t="str">
        <f>VLOOKUP(LARGE($N$5:$N$54,1),$N$5:$O$54,2,FALSE)</f>
        <v>Falta de manutenção - Máquina para de funcionar</v>
      </c>
      <c r="Q5" s="14" t="e">
        <f t="shared" ref="Q5:T6" si="0">VLOOKUP($P5,$B$5:$K$54,Q$4,FALSE)</f>
        <v>#N/A</v>
      </c>
      <c r="R5" s="14" t="e">
        <f t="shared" si="0"/>
        <v>#N/A</v>
      </c>
      <c r="S5" s="14" t="e">
        <f t="shared" si="0"/>
        <v>#N/A</v>
      </c>
      <c r="T5" s="14" t="e">
        <f t="shared" si="0"/>
        <v>#N/A</v>
      </c>
    </row>
    <row r="6" spans="1:20" ht="30" customHeight="1">
      <c r="A6" s="14">
        <v>2</v>
      </c>
      <c r="B6" s="14" t="str">
        <f t="shared" ref="B6:B54" si="1">CONCATENATE(D6," - ",E6)</f>
        <v>Emplacamento incorreto - Perda de qualidade do produto</v>
      </c>
      <c r="C6" s="17">
        <v>2</v>
      </c>
      <c r="D6" s="35" t="s">
        <v>77</v>
      </c>
      <c r="E6" s="35" t="s">
        <v>57</v>
      </c>
      <c r="F6" s="22">
        <v>7</v>
      </c>
      <c r="G6" s="22">
        <v>9</v>
      </c>
      <c r="H6" s="22">
        <v>2</v>
      </c>
      <c r="I6" s="37">
        <f t="shared" ref="I6:I9" si="2">IF(F6*G6*H6=0,"",F6*G6*H6)</f>
        <v>126</v>
      </c>
      <c r="J6" s="37" t="str">
        <f t="array" ref="J6">IFERROR(INDEX(Auxiliar!$E$5:$E$430,MATCH(FMEA!G6&amp;FMEA!F6,Auxiliar!$A$5:$A$430&amp;Auxiliar!$B$5:$B$430,0),0),"")</f>
        <v>Risco Crítico</v>
      </c>
      <c r="K6" s="35" t="s">
        <v>64</v>
      </c>
      <c r="M6" s="14">
        <v>4.8999999999999997E-6</v>
      </c>
      <c r="N6" s="14">
        <f>IF(D6="","",I6+M6)</f>
        <v>126.00000489999999</v>
      </c>
      <c r="O6" s="14" t="str">
        <f>B6</f>
        <v>Emplacamento incorreto - Perda de qualidade do produto</v>
      </c>
      <c r="P6" s="14" t="str">
        <f>VLOOKUP(LARGE($N$5:$N$54,2),$N$5:$O$54,2,FALSE)</f>
        <v>Placas mal dimensionadas - Máquina pode quebrar</v>
      </c>
      <c r="Q6" s="14" t="e">
        <f t="shared" si="0"/>
        <v>#N/A</v>
      </c>
      <c r="R6" s="14" t="e">
        <f t="shared" si="0"/>
        <v>#N/A</v>
      </c>
      <c r="S6" s="14" t="e">
        <f t="shared" si="0"/>
        <v>#N/A</v>
      </c>
      <c r="T6" s="14" t="e">
        <f t="shared" si="0"/>
        <v>#N/A</v>
      </c>
    </row>
    <row r="7" spans="1:20" ht="30" customHeight="1">
      <c r="A7" s="14">
        <v>3</v>
      </c>
      <c r="B7" s="14" t="str">
        <f t="shared" si="1"/>
        <v>Despedício de insumos - Aumento de custo</v>
      </c>
      <c r="C7" s="17">
        <v>3</v>
      </c>
      <c r="D7" s="38" t="s">
        <v>62</v>
      </c>
      <c r="E7" s="38" t="s">
        <v>61</v>
      </c>
      <c r="F7" s="9">
        <v>3</v>
      </c>
      <c r="G7" s="9">
        <v>1</v>
      </c>
      <c r="H7" s="9">
        <v>4</v>
      </c>
      <c r="I7" s="37">
        <f t="shared" si="2"/>
        <v>12</v>
      </c>
      <c r="J7" s="37" t="str">
        <f t="array" ref="J7">IFERROR(INDEX(Auxiliar!$E$5:$E$430,MATCH(FMEA!G7&amp;FMEA!F7,Auxiliar!$A$5:$A$430&amp;Auxiliar!$B$5:$B$430,0),0),"")</f>
        <v>Risco Baixo</v>
      </c>
      <c r="K7" s="38" t="s">
        <v>65</v>
      </c>
      <c r="M7" s="14">
        <v>4.7999999999999998E-6</v>
      </c>
      <c r="N7" s="14">
        <v>12.000004799999999</v>
      </c>
      <c r="O7" s="14" t="s">
        <v>68</v>
      </c>
      <c r="P7" s="14" t="s">
        <v>69</v>
      </c>
      <c r="Q7" s="14" t="s">
        <v>60</v>
      </c>
      <c r="R7" s="14" t="s">
        <v>57</v>
      </c>
      <c r="S7" s="14">
        <v>72</v>
      </c>
      <c r="T7" s="14" t="s">
        <v>64</v>
      </c>
    </row>
    <row r="8" spans="1:20" ht="30" customHeight="1">
      <c r="A8" s="14">
        <v>4</v>
      </c>
      <c r="B8" s="14" t="str">
        <f t="shared" si="1"/>
        <v>Atraso na entrega do doc - Pgto. Adicional de despesas</v>
      </c>
      <c r="C8" s="17">
        <v>4</v>
      </c>
      <c r="D8" s="39" t="s">
        <v>78</v>
      </c>
      <c r="E8" s="39" t="s">
        <v>79</v>
      </c>
      <c r="F8" s="9">
        <v>1</v>
      </c>
      <c r="G8" s="9">
        <v>4</v>
      </c>
      <c r="H8" s="9">
        <v>1</v>
      </c>
      <c r="I8" s="37">
        <f t="shared" si="2"/>
        <v>4</v>
      </c>
      <c r="J8" s="37" t="str">
        <f t="array" ref="J8">IFERROR(INDEX(Auxiliar!$E$5:$E$430,MATCH(FMEA!G8&amp;FMEA!F8,Auxiliar!$A$5:$A$430&amp;Auxiliar!$B$5:$B$430,0),0),"")</f>
        <v>Risco Baixo</v>
      </c>
      <c r="K8" s="38" t="s">
        <v>66</v>
      </c>
      <c r="M8" s="14">
        <v>4.6999999999999999E-6</v>
      </c>
      <c r="N8" s="14">
        <v>315.00000469999998</v>
      </c>
      <c r="O8" s="14" t="s">
        <v>70</v>
      </c>
      <c r="P8" s="14" t="s">
        <v>71</v>
      </c>
      <c r="Q8" s="14" t="s">
        <v>59</v>
      </c>
      <c r="R8" s="14" t="s">
        <v>58</v>
      </c>
      <c r="S8" s="14">
        <v>48</v>
      </c>
      <c r="T8" s="14" t="s">
        <v>63</v>
      </c>
    </row>
    <row r="9" spans="1:20" ht="30" customHeight="1">
      <c r="A9" s="14">
        <v>5</v>
      </c>
      <c r="B9" s="14" t="str">
        <f t="shared" si="1"/>
        <v>Falta de intr. Motoboy - Não realizar a entrega/retirada</v>
      </c>
      <c r="C9" s="17">
        <v>5</v>
      </c>
      <c r="D9" s="39" t="s">
        <v>80</v>
      </c>
      <c r="E9" s="39" t="s">
        <v>81</v>
      </c>
      <c r="F9" s="9">
        <v>6</v>
      </c>
      <c r="G9" s="9">
        <v>8</v>
      </c>
      <c r="H9" s="9">
        <v>4</v>
      </c>
      <c r="I9" s="37">
        <f t="shared" si="2"/>
        <v>192</v>
      </c>
      <c r="J9" s="37" t="str">
        <f t="array" ref="J9">IFERROR(INDEX(Auxiliar!$E$5:$E$430,MATCH(FMEA!G9&amp;FMEA!F9,Auxiliar!$A$5:$A$430&amp;Auxiliar!$B$5:$B$430,0),0),"")</f>
        <v>Risco Elevado</v>
      </c>
      <c r="K9" s="38" t="s">
        <v>67</v>
      </c>
      <c r="M9" s="14">
        <v>4.6E-6</v>
      </c>
      <c r="N9" s="14">
        <v>192.00000460000001</v>
      </c>
      <c r="O9" s="14" t="s">
        <v>72</v>
      </c>
      <c r="P9" s="14" t="s">
        <v>68</v>
      </c>
      <c r="Q9" s="14" t="s">
        <v>62</v>
      </c>
      <c r="R9" s="14" t="s">
        <v>61</v>
      </c>
      <c r="S9" s="14">
        <v>12</v>
      </c>
      <c r="T9" s="14" t="s">
        <v>65</v>
      </c>
    </row>
    <row r="10" spans="1:20" ht="30" customHeight="1">
      <c r="A10" s="14">
        <v>6</v>
      </c>
      <c r="B10" s="14" t="str">
        <f t="shared" si="1"/>
        <v xml:space="preserve"> - </v>
      </c>
      <c r="C10" s="17">
        <v>6</v>
      </c>
      <c r="D10" s="39"/>
      <c r="E10" s="39"/>
      <c r="F10" s="9"/>
      <c r="G10" s="9"/>
      <c r="H10" s="9"/>
      <c r="I10" s="9" t="s">
        <v>74</v>
      </c>
      <c r="J10" s="37" t="str">
        <f>IFERROR(VLOOKUP(I10,Auxiliar!$D$6:$E$105,2,FALSE),"")</f>
        <v/>
      </c>
      <c r="K10" s="20"/>
      <c r="M10" s="14">
        <v>4.5000000000000001E-6</v>
      </c>
      <c r="N10" s="14" t="s">
        <v>74</v>
      </c>
      <c r="O10" s="14" t="s">
        <v>73</v>
      </c>
    </row>
    <row r="11" spans="1:20" ht="30" customHeight="1">
      <c r="A11" s="14">
        <v>7</v>
      </c>
      <c r="B11" s="14" t="str">
        <f t="shared" si="1"/>
        <v xml:space="preserve"> - </v>
      </c>
      <c r="C11" s="17">
        <v>7</v>
      </c>
      <c r="D11" s="39"/>
      <c r="E11" s="39"/>
      <c r="F11" s="9"/>
      <c r="G11" s="9"/>
      <c r="H11" s="9"/>
      <c r="I11" s="9" t="s">
        <v>74</v>
      </c>
      <c r="J11" s="37" t="str">
        <f>IFERROR(VLOOKUP(I11,Auxiliar!$D$6:$E$105,2,FALSE),"")</f>
        <v/>
      </c>
      <c r="K11" s="20"/>
      <c r="M11" s="14">
        <v>4.4000000000000002E-6</v>
      </c>
      <c r="N11" s="14" t="s">
        <v>74</v>
      </c>
      <c r="O11" s="14" t="s">
        <v>73</v>
      </c>
    </row>
    <row r="12" spans="1:20" ht="30" customHeight="1">
      <c r="A12" s="14">
        <v>8</v>
      </c>
      <c r="B12" s="14" t="str">
        <f t="shared" si="1"/>
        <v xml:space="preserve"> - </v>
      </c>
      <c r="C12" s="17">
        <v>8</v>
      </c>
      <c r="D12" s="20"/>
      <c r="E12" s="20"/>
      <c r="F12" s="9"/>
      <c r="G12" s="9"/>
      <c r="H12" s="9"/>
      <c r="I12" s="9" t="s">
        <v>74</v>
      </c>
      <c r="J12" s="37" t="str">
        <f>IFERROR(VLOOKUP(I12,Auxiliar!$D$6:$E$105,2,FALSE),"")</f>
        <v/>
      </c>
      <c r="K12" s="20"/>
      <c r="M12" s="14">
        <v>4.3000000000000003E-6</v>
      </c>
      <c r="N12" s="14" t="s">
        <v>74</v>
      </c>
      <c r="O12" s="14" t="s">
        <v>73</v>
      </c>
    </row>
    <row r="13" spans="1:20" ht="30" customHeight="1">
      <c r="A13" s="14">
        <v>9</v>
      </c>
      <c r="B13" s="14" t="str">
        <f t="shared" si="1"/>
        <v xml:space="preserve"> - </v>
      </c>
      <c r="C13" s="17">
        <v>9</v>
      </c>
      <c r="D13" s="20"/>
      <c r="E13" s="20"/>
      <c r="F13" s="9"/>
      <c r="G13" s="9"/>
      <c r="H13" s="9"/>
      <c r="I13" s="9" t="s">
        <v>74</v>
      </c>
      <c r="J13" s="37" t="str">
        <f>IFERROR(VLOOKUP(I13,Auxiliar!$D$6:$E$105,2,FALSE),"")</f>
        <v/>
      </c>
      <c r="K13" s="20"/>
      <c r="M13" s="14">
        <v>4.1999999999999996E-6</v>
      </c>
      <c r="N13" s="14" t="s">
        <v>74</v>
      </c>
      <c r="O13" s="14" t="s">
        <v>73</v>
      </c>
    </row>
    <row r="14" spans="1:20" ht="30" customHeight="1">
      <c r="A14" s="14">
        <v>10</v>
      </c>
      <c r="B14" s="14" t="str">
        <f t="shared" si="1"/>
        <v xml:space="preserve"> - </v>
      </c>
      <c r="C14" s="17">
        <v>10</v>
      </c>
      <c r="D14" s="20"/>
      <c r="E14" s="20"/>
      <c r="F14" s="9"/>
      <c r="G14" s="9"/>
      <c r="H14" s="9"/>
      <c r="I14" s="9" t="s">
        <v>74</v>
      </c>
      <c r="J14" s="37" t="str">
        <f>IFERROR(VLOOKUP(I14,Auxiliar!$D$6:$E$105,2,FALSE),"")</f>
        <v/>
      </c>
      <c r="K14" s="20"/>
      <c r="M14" s="14">
        <v>4.0999999999999997E-6</v>
      </c>
      <c r="N14" s="14" t="s">
        <v>74</v>
      </c>
      <c r="O14" s="14" t="s">
        <v>73</v>
      </c>
    </row>
    <row r="15" spans="1:20" ht="30" customHeight="1">
      <c r="A15" s="14">
        <v>11</v>
      </c>
      <c r="B15" s="14" t="str">
        <f t="shared" si="1"/>
        <v xml:space="preserve"> - </v>
      </c>
      <c r="C15" s="17">
        <v>11</v>
      </c>
      <c r="D15" s="20"/>
      <c r="E15" s="20"/>
      <c r="F15" s="9"/>
      <c r="G15" s="9"/>
      <c r="H15" s="9"/>
      <c r="I15" s="9" t="s">
        <v>74</v>
      </c>
      <c r="J15" s="37" t="str">
        <f>IFERROR(VLOOKUP(I15,Auxiliar!$D$6:$E$105,2,FALSE),"")</f>
        <v/>
      </c>
      <c r="K15" s="20"/>
      <c r="M15" s="14">
        <v>3.9999999999999998E-6</v>
      </c>
      <c r="N15" s="14" t="s">
        <v>74</v>
      </c>
      <c r="O15" s="14" t="s">
        <v>73</v>
      </c>
    </row>
    <row r="16" spans="1:20" ht="30" customHeight="1">
      <c r="A16" s="14">
        <v>12</v>
      </c>
      <c r="B16" s="14" t="str">
        <f t="shared" si="1"/>
        <v xml:space="preserve"> - </v>
      </c>
      <c r="C16" s="17">
        <v>12</v>
      </c>
      <c r="D16" s="20"/>
      <c r="E16" s="20"/>
      <c r="F16" s="9"/>
      <c r="G16" s="9"/>
      <c r="H16" s="9"/>
      <c r="I16" s="9" t="s">
        <v>74</v>
      </c>
      <c r="J16" s="37" t="str">
        <f>IFERROR(VLOOKUP(I16,Auxiliar!$D$6:$E$105,2,FALSE),"")</f>
        <v/>
      </c>
      <c r="K16" s="20"/>
      <c r="M16" s="14">
        <v>3.8999999999999999E-6</v>
      </c>
      <c r="N16" s="14" t="s">
        <v>74</v>
      </c>
      <c r="O16" s="14" t="s">
        <v>73</v>
      </c>
    </row>
    <row r="17" spans="1:15" ht="30" customHeight="1">
      <c r="A17" s="14">
        <v>13</v>
      </c>
      <c r="B17" s="14" t="str">
        <f t="shared" si="1"/>
        <v xml:space="preserve"> - </v>
      </c>
      <c r="C17" s="17">
        <v>13</v>
      </c>
      <c r="D17" s="20"/>
      <c r="E17" s="20"/>
      <c r="F17" s="9"/>
      <c r="G17" s="9"/>
      <c r="H17" s="9"/>
      <c r="I17" s="9" t="s">
        <v>74</v>
      </c>
      <c r="J17" s="37" t="str">
        <f>IFERROR(VLOOKUP(I17,Auxiliar!$D$6:$E$105,2,FALSE),"")</f>
        <v/>
      </c>
      <c r="K17" s="20"/>
      <c r="M17" s="14">
        <v>3.8E-6</v>
      </c>
      <c r="N17" s="14" t="s">
        <v>74</v>
      </c>
      <c r="O17" s="14" t="s">
        <v>73</v>
      </c>
    </row>
    <row r="18" spans="1:15" ht="30" customHeight="1">
      <c r="A18" s="14">
        <v>14</v>
      </c>
      <c r="B18" s="14" t="str">
        <f t="shared" si="1"/>
        <v xml:space="preserve"> - </v>
      </c>
      <c r="C18" s="17">
        <v>14</v>
      </c>
      <c r="D18" s="20"/>
      <c r="E18" s="20"/>
      <c r="F18" s="9"/>
      <c r="G18" s="9"/>
      <c r="H18" s="9"/>
      <c r="I18" s="9" t="s">
        <v>74</v>
      </c>
      <c r="J18" s="37" t="str">
        <f>IFERROR(VLOOKUP(I18,Auxiliar!$D$6:$E$105,2,FALSE),"")</f>
        <v/>
      </c>
      <c r="K18" s="20"/>
      <c r="M18" s="14">
        <v>3.7000000000000002E-6</v>
      </c>
      <c r="N18" s="14" t="s">
        <v>74</v>
      </c>
      <c r="O18" s="14" t="s">
        <v>73</v>
      </c>
    </row>
    <row r="19" spans="1:15" ht="30" customHeight="1">
      <c r="A19" s="14">
        <v>15</v>
      </c>
      <c r="B19" s="14" t="str">
        <f t="shared" si="1"/>
        <v xml:space="preserve"> - </v>
      </c>
      <c r="C19" s="17">
        <v>15</v>
      </c>
      <c r="D19" s="20"/>
      <c r="E19" s="20"/>
      <c r="F19" s="9"/>
      <c r="G19" s="9"/>
      <c r="H19" s="9"/>
      <c r="I19" s="9" t="s">
        <v>74</v>
      </c>
      <c r="J19" s="37" t="str">
        <f>IFERROR(VLOOKUP(I19,Auxiliar!$D$6:$E$105,2,FALSE),"")</f>
        <v/>
      </c>
      <c r="K19" s="20"/>
      <c r="M19" s="14">
        <v>3.5999999999999998E-6</v>
      </c>
      <c r="N19" s="14" t="s">
        <v>74</v>
      </c>
      <c r="O19" s="14" t="s">
        <v>73</v>
      </c>
    </row>
    <row r="20" spans="1:15" ht="30" customHeight="1">
      <c r="A20" s="14">
        <v>16</v>
      </c>
      <c r="B20" s="14" t="str">
        <f t="shared" si="1"/>
        <v xml:space="preserve"> - </v>
      </c>
      <c r="C20" s="17">
        <v>16</v>
      </c>
      <c r="D20" s="20"/>
      <c r="E20" s="20"/>
      <c r="F20" s="9"/>
      <c r="G20" s="9"/>
      <c r="H20" s="9"/>
      <c r="I20" s="9" t="s">
        <v>74</v>
      </c>
      <c r="J20" s="37" t="str">
        <f>IFERROR(VLOOKUP(I20,Auxiliar!$D$6:$E$105,2,FALSE),"")</f>
        <v/>
      </c>
      <c r="K20" s="20"/>
      <c r="M20" s="14">
        <v>3.4999999999999999E-6</v>
      </c>
      <c r="N20" s="14" t="s">
        <v>74</v>
      </c>
      <c r="O20" s="14" t="s">
        <v>73</v>
      </c>
    </row>
    <row r="21" spans="1:15" ht="30" customHeight="1">
      <c r="A21" s="14">
        <v>17</v>
      </c>
      <c r="B21" s="14" t="str">
        <f t="shared" si="1"/>
        <v xml:space="preserve"> - </v>
      </c>
      <c r="C21" s="17">
        <v>17</v>
      </c>
      <c r="D21" s="20"/>
      <c r="E21" s="20"/>
      <c r="F21" s="9"/>
      <c r="G21" s="9"/>
      <c r="H21" s="9"/>
      <c r="I21" s="9" t="s">
        <v>74</v>
      </c>
      <c r="J21" s="37" t="str">
        <f>IFERROR(VLOOKUP(I21,Auxiliar!$D$6:$E$105,2,FALSE),"")</f>
        <v/>
      </c>
      <c r="K21" s="20"/>
      <c r="M21" s="14">
        <v>3.4000000000000001E-6</v>
      </c>
      <c r="N21" s="14" t="s">
        <v>74</v>
      </c>
      <c r="O21" s="14" t="s">
        <v>73</v>
      </c>
    </row>
    <row r="22" spans="1:15" ht="30" customHeight="1">
      <c r="A22" s="14">
        <v>18</v>
      </c>
      <c r="B22" s="14" t="str">
        <f t="shared" si="1"/>
        <v xml:space="preserve"> - </v>
      </c>
      <c r="C22" s="17">
        <v>18</v>
      </c>
      <c r="D22" s="20"/>
      <c r="E22" s="20"/>
      <c r="F22" s="9"/>
      <c r="G22" s="9"/>
      <c r="H22" s="9"/>
      <c r="I22" s="9" t="s">
        <v>74</v>
      </c>
      <c r="J22" s="37" t="str">
        <f>IFERROR(VLOOKUP(I22,Auxiliar!$D$6:$E$105,2,FALSE),"")</f>
        <v/>
      </c>
      <c r="K22" s="20"/>
      <c r="M22" s="14">
        <v>3.3000000000000002E-6</v>
      </c>
      <c r="N22" s="14" t="s">
        <v>74</v>
      </c>
      <c r="O22" s="14" t="s">
        <v>73</v>
      </c>
    </row>
    <row r="23" spans="1:15" ht="30" customHeight="1">
      <c r="A23" s="14">
        <v>19</v>
      </c>
      <c r="B23" s="14" t="str">
        <f t="shared" si="1"/>
        <v xml:space="preserve"> - </v>
      </c>
      <c r="C23" s="17">
        <v>19</v>
      </c>
      <c r="D23" s="20"/>
      <c r="E23" s="20"/>
      <c r="F23" s="9"/>
      <c r="G23" s="9"/>
      <c r="H23" s="9"/>
      <c r="I23" s="9" t="s">
        <v>74</v>
      </c>
      <c r="J23" s="37" t="str">
        <f>IFERROR(VLOOKUP(I23,Auxiliar!$D$6:$E$105,2,FALSE),"")</f>
        <v/>
      </c>
      <c r="K23" s="20"/>
      <c r="M23" s="14">
        <v>3.1999999999999999E-6</v>
      </c>
      <c r="N23" s="14" t="s">
        <v>74</v>
      </c>
      <c r="O23" s="14" t="s">
        <v>73</v>
      </c>
    </row>
    <row r="24" spans="1:15" ht="30" customHeight="1">
      <c r="A24" s="14">
        <v>20</v>
      </c>
      <c r="B24" s="14" t="str">
        <f t="shared" si="1"/>
        <v xml:space="preserve"> - </v>
      </c>
      <c r="C24" s="17">
        <v>20</v>
      </c>
      <c r="D24" s="20"/>
      <c r="E24" s="20"/>
      <c r="F24" s="9"/>
      <c r="G24" s="9"/>
      <c r="H24" s="9"/>
      <c r="I24" s="9" t="s">
        <v>74</v>
      </c>
      <c r="J24" s="37" t="str">
        <f>IFERROR(VLOOKUP(I24,Auxiliar!$D$6:$E$105,2,FALSE),"")</f>
        <v/>
      </c>
      <c r="K24" s="20"/>
      <c r="M24" s="14">
        <v>3.1E-6</v>
      </c>
      <c r="N24" s="14" t="s">
        <v>74</v>
      </c>
      <c r="O24" s="14" t="s">
        <v>73</v>
      </c>
    </row>
    <row r="25" spans="1:15" ht="30" customHeight="1">
      <c r="A25" s="14">
        <v>21</v>
      </c>
      <c r="B25" s="14" t="str">
        <f t="shared" si="1"/>
        <v xml:space="preserve"> - </v>
      </c>
      <c r="C25" s="17">
        <v>21</v>
      </c>
      <c r="D25" s="20"/>
      <c r="E25" s="20"/>
      <c r="F25" s="9"/>
      <c r="G25" s="9"/>
      <c r="H25" s="9"/>
      <c r="I25" s="9" t="s">
        <v>74</v>
      </c>
      <c r="J25" s="37" t="str">
        <f>IFERROR(VLOOKUP(I25,Auxiliar!$D$6:$E$105,2,FALSE),"")</f>
        <v/>
      </c>
      <c r="K25" s="20"/>
      <c r="M25" s="14">
        <v>3.0000000000000001E-6</v>
      </c>
      <c r="N25" s="14" t="s">
        <v>74</v>
      </c>
      <c r="O25" s="14" t="s">
        <v>73</v>
      </c>
    </row>
    <row r="26" spans="1:15" ht="30" customHeight="1">
      <c r="A26" s="14">
        <v>22</v>
      </c>
      <c r="B26" s="14" t="str">
        <f t="shared" si="1"/>
        <v xml:space="preserve"> - </v>
      </c>
      <c r="C26" s="17">
        <v>22</v>
      </c>
      <c r="D26" s="20"/>
      <c r="E26" s="20"/>
      <c r="F26" s="9"/>
      <c r="G26" s="9"/>
      <c r="H26" s="9"/>
      <c r="I26" s="9" t="s">
        <v>74</v>
      </c>
      <c r="J26" s="37" t="str">
        <f>IFERROR(VLOOKUP(I26,Auxiliar!$D$6:$E$105,2,FALSE),"")</f>
        <v/>
      </c>
      <c r="K26" s="20"/>
      <c r="M26" s="14">
        <v>2.9000000000000002E-6</v>
      </c>
      <c r="N26" s="14" t="s">
        <v>74</v>
      </c>
      <c r="O26" s="14" t="s">
        <v>73</v>
      </c>
    </row>
    <row r="27" spans="1:15" ht="30" customHeight="1">
      <c r="A27" s="14">
        <v>23</v>
      </c>
      <c r="B27" s="14" t="str">
        <f t="shared" si="1"/>
        <v xml:space="preserve"> - </v>
      </c>
      <c r="C27" s="17">
        <v>23</v>
      </c>
      <c r="D27" s="20"/>
      <c r="E27" s="20"/>
      <c r="F27" s="9"/>
      <c r="G27" s="9"/>
      <c r="H27" s="9"/>
      <c r="I27" s="9" t="s">
        <v>74</v>
      </c>
      <c r="J27" s="37" t="str">
        <f>IFERROR(VLOOKUP(I27,Auxiliar!$D$6:$E$105,2,FALSE),"")</f>
        <v/>
      </c>
      <c r="K27" s="20"/>
      <c r="M27" s="14">
        <v>2.7999999999999999E-6</v>
      </c>
      <c r="N27" s="14" t="s">
        <v>74</v>
      </c>
      <c r="O27" s="14" t="s">
        <v>73</v>
      </c>
    </row>
    <row r="28" spans="1:15" ht="30" customHeight="1">
      <c r="A28" s="14">
        <v>24</v>
      </c>
      <c r="B28" s="14" t="str">
        <f t="shared" si="1"/>
        <v xml:space="preserve"> - </v>
      </c>
      <c r="C28" s="17">
        <v>24</v>
      </c>
      <c r="D28" s="20"/>
      <c r="E28" s="20"/>
      <c r="F28" s="9"/>
      <c r="G28" s="9"/>
      <c r="H28" s="9"/>
      <c r="I28" s="9" t="s">
        <v>74</v>
      </c>
      <c r="J28" s="37" t="str">
        <f>IFERROR(VLOOKUP(I28,Auxiliar!$D$6:$E$105,2,FALSE),"")</f>
        <v/>
      </c>
      <c r="K28" s="20"/>
      <c r="M28" s="14">
        <v>2.7E-6</v>
      </c>
      <c r="N28" s="14" t="s">
        <v>74</v>
      </c>
      <c r="O28" s="14" t="s">
        <v>73</v>
      </c>
    </row>
    <row r="29" spans="1:15" ht="30" customHeight="1">
      <c r="A29" s="14">
        <v>25</v>
      </c>
      <c r="B29" s="14" t="str">
        <f t="shared" si="1"/>
        <v xml:space="preserve"> - </v>
      </c>
      <c r="C29" s="17">
        <v>25</v>
      </c>
      <c r="D29" s="20"/>
      <c r="E29" s="20"/>
      <c r="F29" s="9"/>
      <c r="G29" s="9"/>
      <c r="H29" s="9"/>
      <c r="I29" s="9" t="s">
        <v>74</v>
      </c>
      <c r="J29" s="37" t="str">
        <f>IFERROR(VLOOKUP(I29,Auxiliar!$D$6:$E$105,2,FALSE),"")</f>
        <v/>
      </c>
      <c r="K29" s="20"/>
      <c r="M29" s="14">
        <v>2.6000000000000001E-6</v>
      </c>
      <c r="N29" s="14" t="s">
        <v>74</v>
      </c>
      <c r="O29" s="14" t="s">
        <v>73</v>
      </c>
    </row>
    <row r="30" spans="1:15" ht="30" customHeight="1">
      <c r="A30" s="14">
        <v>26</v>
      </c>
      <c r="B30" s="14" t="str">
        <f t="shared" si="1"/>
        <v xml:space="preserve"> - </v>
      </c>
      <c r="C30" s="17">
        <v>26</v>
      </c>
      <c r="D30" s="20"/>
      <c r="E30" s="20"/>
      <c r="F30" s="9"/>
      <c r="G30" s="9"/>
      <c r="H30" s="9"/>
      <c r="I30" s="9" t="s">
        <v>74</v>
      </c>
      <c r="J30" s="37" t="str">
        <f>IFERROR(VLOOKUP(I30,Auxiliar!$D$6:$E$105,2,FALSE),"")</f>
        <v/>
      </c>
      <c r="K30" s="20"/>
      <c r="M30" s="14">
        <v>2.5000000000000002E-6</v>
      </c>
      <c r="N30" s="14" t="s">
        <v>74</v>
      </c>
      <c r="O30" s="14" t="s">
        <v>73</v>
      </c>
    </row>
    <row r="31" spans="1:15" ht="30" customHeight="1">
      <c r="A31" s="14">
        <v>27</v>
      </c>
      <c r="B31" s="14" t="str">
        <f t="shared" si="1"/>
        <v xml:space="preserve"> - </v>
      </c>
      <c r="C31" s="17">
        <v>27</v>
      </c>
      <c r="D31" s="20"/>
      <c r="E31" s="20"/>
      <c r="F31" s="9"/>
      <c r="G31" s="9"/>
      <c r="H31" s="9"/>
      <c r="I31" s="9" t="s">
        <v>74</v>
      </c>
      <c r="J31" s="37" t="str">
        <f>IFERROR(VLOOKUP(I31,Auxiliar!$D$6:$E$105,2,FALSE),"")</f>
        <v/>
      </c>
      <c r="K31" s="20"/>
      <c r="M31" s="14">
        <v>2.3999999999999999E-6</v>
      </c>
      <c r="N31" s="14" t="s">
        <v>74</v>
      </c>
      <c r="O31" s="14" t="s">
        <v>73</v>
      </c>
    </row>
    <row r="32" spans="1:15" ht="30" customHeight="1">
      <c r="A32" s="14">
        <v>28</v>
      </c>
      <c r="B32" s="14" t="str">
        <f t="shared" si="1"/>
        <v xml:space="preserve"> - </v>
      </c>
      <c r="C32" s="17">
        <v>28</v>
      </c>
      <c r="D32" s="20"/>
      <c r="E32" s="20"/>
      <c r="F32" s="9"/>
      <c r="G32" s="9"/>
      <c r="H32" s="9"/>
      <c r="I32" s="9" t="s">
        <v>74</v>
      </c>
      <c r="J32" s="37" t="str">
        <f>IFERROR(VLOOKUP(I32,Auxiliar!$D$6:$E$105,2,FALSE),"")</f>
        <v/>
      </c>
      <c r="K32" s="20"/>
      <c r="M32" s="14">
        <v>2.3E-6</v>
      </c>
      <c r="N32" s="14" t="s">
        <v>74</v>
      </c>
      <c r="O32" s="14" t="s">
        <v>73</v>
      </c>
    </row>
    <row r="33" spans="1:15" ht="30" customHeight="1">
      <c r="A33" s="14">
        <v>29</v>
      </c>
      <c r="B33" s="14" t="str">
        <f t="shared" si="1"/>
        <v xml:space="preserve"> - </v>
      </c>
      <c r="C33" s="17">
        <v>29</v>
      </c>
      <c r="D33" s="20"/>
      <c r="E33" s="20"/>
      <c r="F33" s="9"/>
      <c r="G33" s="9"/>
      <c r="H33" s="9"/>
      <c r="I33" s="9" t="s">
        <v>74</v>
      </c>
      <c r="J33" s="37" t="str">
        <f>IFERROR(VLOOKUP(I33,Auxiliar!$D$6:$E$105,2,FALSE),"")</f>
        <v/>
      </c>
      <c r="K33" s="20"/>
      <c r="M33" s="14">
        <v>2.2000000000000001E-6</v>
      </c>
      <c r="N33" s="14" t="s">
        <v>74</v>
      </c>
      <c r="O33" s="14" t="s">
        <v>73</v>
      </c>
    </row>
    <row r="34" spans="1:15" ht="30" customHeight="1">
      <c r="A34" s="14">
        <v>30</v>
      </c>
      <c r="B34" s="14" t="str">
        <f t="shared" si="1"/>
        <v xml:space="preserve"> - </v>
      </c>
      <c r="C34" s="17">
        <v>30</v>
      </c>
      <c r="D34" s="20"/>
      <c r="E34" s="20"/>
      <c r="F34" s="9"/>
      <c r="G34" s="9"/>
      <c r="H34" s="9"/>
      <c r="I34" s="9" t="s">
        <v>74</v>
      </c>
      <c r="J34" s="37" t="str">
        <f>IFERROR(VLOOKUP(I34,Auxiliar!$D$6:$E$105,2,FALSE),"")</f>
        <v/>
      </c>
      <c r="K34" s="20"/>
      <c r="M34" s="14">
        <v>2.0999999999999998E-6</v>
      </c>
      <c r="N34" s="14" t="s">
        <v>74</v>
      </c>
      <c r="O34" s="14" t="s">
        <v>73</v>
      </c>
    </row>
    <row r="35" spans="1:15" ht="30" customHeight="1">
      <c r="A35" s="14">
        <v>31</v>
      </c>
      <c r="B35" s="14" t="str">
        <f t="shared" si="1"/>
        <v xml:space="preserve"> - </v>
      </c>
      <c r="C35" s="17">
        <v>31</v>
      </c>
      <c r="D35" s="20"/>
      <c r="E35" s="20"/>
      <c r="F35" s="9"/>
      <c r="G35" s="9"/>
      <c r="H35" s="9"/>
      <c r="I35" s="9" t="s">
        <v>74</v>
      </c>
      <c r="J35" s="37" t="str">
        <f>IFERROR(VLOOKUP(I35,Auxiliar!$D$6:$E$105,2,FALSE),"")</f>
        <v/>
      </c>
      <c r="K35" s="20"/>
      <c r="M35" s="14">
        <v>1.9999999999999999E-6</v>
      </c>
      <c r="N35" s="14" t="s">
        <v>74</v>
      </c>
      <c r="O35" s="14" t="s">
        <v>73</v>
      </c>
    </row>
    <row r="36" spans="1:15" ht="30" customHeight="1">
      <c r="A36" s="14">
        <v>32</v>
      </c>
      <c r="B36" s="14" t="str">
        <f t="shared" si="1"/>
        <v xml:space="preserve"> - </v>
      </c>
      <c r="C36" s="17">
        <v>32</v>
      </c>
      <c r="D36" s="20"/>
      <c r="E36" s="20"/>
      <c r="F36" s="9"/>
      <c r="G36" s="9"/>
      <c r="H36" s="9"/>
      <c r="I36" s="9" t="s">
        <v>74</v>
      </c>
      <c r="J36" s="37" t="str">
        <f>IFERROR(VLOOKUP(I36,Auxiliar!$D$6:$E$105,2,FALSE),"")</f>
        <v/>
      </c>
      <c r="K36" s="20"/>
      <c r="M36" s="14">
        <v>1.9E-6</v>
      </c>
      <c r="N36" s="14" t="s">
        <v>74</v>
      </c>
      <c r="O36" s="14" t="s">
        <v>73</v>
      </c>
    </row>
    <row r="37" spans="1:15" ht="30" customHeight="1">
      <c r="A37" s="14">
        <v>33</v>
      </c>
      <c r="B37" s="14" t="str">
        <f t="shared" si="1"/>
        <v xml:space="preserve"> - </v>
      </c>
      <c r="C37" s="17">
        <v>33</v>
      </c>
      <c r="D37" s="20"/>
      <c r="E37" s="20"/>
      <c r="F37" s="9"/>
      <c r="G37" s="9"/>
      <c r="H37" s="9"/>
      <c r="I37" s="9" t="s">
        <v>74</v>
      </c>
      <c r="J37" s="37" t="str">
        <f>IFERROR(VLOOKUP(I37,Auxiliar!$D$6:$E$105,2,FALSE),"")</f>
        <v/>
      </c>
      <c r="K37" s="20"/>
      <c r="M37" s="14">
        <v>1.7999999999999999E-6</v>
      </c>
      <c r="N37" s="14" t="s">
        <v>74</v>
      </c>
      <c r="O37" s="14" t="s">
        <v>73</v>
      </c>
    </row>
    <row r="38" spans="1:15" ht="30" customHeight="1">
      <c r="A38" s="14">
        <v>34</v>
      </c>
      <c r="B38" s="14" t="str">
        <f t="shared" si="1"/>
        <v xml:space="preserve"> - </v>
      </c>
      <c r="C38" s="17">
        <v>34</v>
      </c>
      <c r="D38" s="20"/>
      <c r="E38" s="20"/>
      <c r="F38" s="9"/>
      <c r="G38" s="9"/>
      <c r="H38" s="9"/>
      <c r="I38" s="9" t="s">
        <v>74</v>
      </c>
      <c r="J38" s="37" t="str">
        <f>IFERROR(VLOOKUP(I38,Auxiliar!$D$6:$E$105,2,FALSE),"")</f>
        <v/>
      </c>
      <c r="K38" s="20"/>
      <c r="M38" s="14">
        <v>1.7E-6</v>
      </c>
      <c r="N38" s="14" t="s">
        <v>74</v>
      </c>
      <c r="O38" s="14" t="s">
        <v>73</v>
      </c>
    </row>
    <row r="39" spans="1:15" ht="30" customHeight="1">
      <c r="A39" s="14">
        <v>35</v>
      </c>
      <c r="B39" s="14" t="str">
        <f t="shared" si="1"/>
        <v xml:space="preserve"> - </v>
      </c>
      <c r="C39" s="17">
        <v>35</v>
      </c>
      <c r="D39" s="20"/>
      <c r="E39" s="20"/>
      <c r="F39" s="9"/>
      <c r="G39" s="9"/>
      <c r="H39" s="9"/>
      <c r="I39" s="9" t="s">
        <v>74</v>
      </c>
      <c r="J39" s="37" t="str">
        <f>IFERROR(VLOOKUP(I39,Auxiliar!$D$6:$E$105,2,FALSE),"")</f>
        <v/>
      </c>
      <c r="K39" s="20"/>
      <c r="M39" s="14">
        <v>1.5999999999999999E-6</v>
      </c>
      <c r="N39" s="14" t="s">
        <v>74</v>
      </c>
      <c r="O39" s="14" t="s">
        <v>73</v>
      </c>
    </row>
    <row r="40" spans="1:15" ht="30" customHeight="1">
      <c r="A40" s="14">
        <v>36</v>
      </c>
      <c r="B40" s="14" t="str">
        <f t="shared" si="1"/>
        <v xml:space="preserve"> - </v>
      </c>
      <c r="C40" s="17">
        <v>36</v>
      </c>
      <c r="D40" s="20"/>
      <c r="E40" s="20"/>
      <c r="F40" s="9"/>
      <c r="G40" s="9"/>
      <c r="H40" s="9"/>
      <c r="I40" s="9" t="s">
        <v>74</v>
      </c>
      <c r="J40" s="37" t="str">
        <f>IFERROR(VLOOKUP(I40,Auxiliar!$D$6:$E$105,2,FALSE),"")</f>
        <v/>
      </c>
      <c r="K40" s="20"/>
      <c r="M40" s="14">
        <v>1.5E-6</v>
      </c>
      <c r="N40" s="14" t="s">
        <v>74</v>
      </c>
      <c r="O40" s="14" t="s">
        <v>73</v>
      </c>
    </row>
    <row r="41" spans="1:15" ht="30" customHeight="1">
      <c r="A41" s="14">
        <v>37</v>
      </c>
      <c r="B41" s="14" t="str">
        <f t="shared" si="1"/>
        <v xml:space="preserve"> - </v>
      </c>
      <c r="C41" s="17">
        <v>37</v>
      </c>
      <c r="D41" s="20"/>
      <c r="E41" s="20"/>
      <c r="F41" s="9"/>
      <c r="G41" s="9"/>
      <c r="H41" s="9"/>
      <c r="I41" s="9" t="s">
        <v>74</v>
      </c>
      <c r="J41" s="37" t="str">
        <f>IFERROR(VLOOKUP(I41,Auxiliar!$D$6:$E$105,2,FALSE),"")</f>
        <v/>
      </c>
      <c r="K41" s="20"/>
      <c r="M41" s="14">
        <v>1.3999999999999999E-6</v>
      </c>
      <c r="N41" s="14" t="s">
        <v>74</v>
      </c>
      <c r="O41" s="14" t="s">
        <v>73</v>
      </c>
    </row>
    <row r="42" spans="1:15" ht="30" customHeight="1">
      <c r="A42" s="14">
        <v>38</v>
      </c>
      <c r="B42" s="14" t="str">
        <f t="shared" si="1"/>
        <v xml:space="preserve"> - </v>
      </c>
      <c r="C42" s="17">
        <v>38</v>
      </c>
      <c r="D42" s="20"/>
      <c r="E42" s="20"/>
      <c r="F42" s="9"/>
      <c r="G42" s="9"/>
      <c r="H42" s="9"/>
      <c r="I42" s="9" t="s">
        <v>74</v>
      </c>
      <c r="J42" s="37" t="str">
        <f>IFERROR(VLOOKUP(I42,Auxiliar!$D$6:$E$105,2,FALSE),"")</f>
        <v/>
      </c>
      <c r="K42" s="20"/>
      <c r="M42" s="14">
        <v>1.3E-6</v>
      </c>
      <c r="N42" s="14" t="s">
        <v>74</v>
      </c>
      <c r="O42" s="14" t="s">
        <v>73</v>
      </c>
    </row>
    <row r="43" spans="1:15" ht="30" customHeight="1">
      <c r="A43" s="14">
        <v>39</v>
      </c>
      <c r="B43" s="14" t="str">
        <f t="shared" si="1"/>
        <v xml:space="preserve"> - </v>
      </c>
      <c r="C43" s="17">
        <v>39</v>
      </c>
      <c r="D43" s="20"/>
      <c r="E43" s="20"/>
      <c r="F43" s="9"/>
      <c r="G43" s="9"/>
      <c r="H43" s="9"/>
      <c r="I43" s="9" t="s">
        <v>74</v>
      </c>
      <c r="J43" s="37" t="str">
        <f>IFERROR(VLOOKUP(I43,Auxiliar!$D$6:$E$105,2,FALSE),"")</f>
        <v/>
      </c>
      <c r="K43" s="20"/>
      <c r="M43" s="14">
        <v>1.1999999999999999E-6</v>
      </c>
      <c r="N43" s="14" t="s">
        <v>74</v>
      </c>
      <c r="O43" s="14" t="s">
        <v>73</v>
      </c>
    </row>
    <row r="44" spans="1:15" ht="30" customHeight="1">
      <c r="A44" s="14">
        <v>40</v>
      </c>
      <c r="B44" s="14" t="str">
        <f t="shared" si="1"/>
        <v xml:space="preserve"> - </v>
      </c>
      <c r="C44" s="17">
        <v>40</v>
      </c>
      <c r="D44" s="20"/>
      <c r="E44" s="20"/>
      <c r="F44" s="9"/>
      <c r="G44" s="9"/>
      <c r="H44" s="9"/>
      <c r="I44" s="9" t="s">
        <v>74</v>
      </c>
      <c r="J44" s="37" t="str">
        <f>IFERROR(VLOOKUP(I44,Auxiliar!$D$6:$E$105,2,FALSE),"")</f>
        <v/>
      </c>
      <c r="K44" s="20"/>
      <c r="M44" s="14">
        <v>1.1000000000000001E-6</v>
      </c>
      <c r="N44" s="14" t="s">
        <v>74</v>
      </c>
      <c r="O44" s="14" t="s">
        <v>73</v>
      </c>
    </row>
    <row r="45" spans="1:15" ht="30" customHeight="1">
      <c r="A45" s="14">
        <v>41</v>
      </c>
      <c r="B45" s="14" t="str">
        <f t="shared" si="1"/>
        <v xml:space="preserve"> - </v>
      </c>
      <c r="C45" s="17">
        <v>41</v>
      </c>
      <c r="D45" s="20"/>
      <c r="E45" s="20"/>
      <c r="F45" s="9"/>
      <c r="G45" s="9"/>
      <c r="H45" s="9"/>
      <c r="I45" s="9" t="s">
        <v>74</v>
      </c>
      <c r="J45" s="37" t="str">
        <f>IFERROR(VLOOKUP(I45,Auxiliar!$D$6:$E$105,2,FALSE),"")</f>
        <v/>
      </c>
      <c r="K45" s="20"/>
      <c r="M45" s="14">
        <v>9.9999999999999995E-7</v>
      </c>
      <c r="N45" s="14" t="s">
        <v>74</v>
      </c>
      <c r="O45" s="14" t="s">
        <v>73</v>
      </c>
    </row>
    <row r="46" spans="1:15" ht="30" customHeight="1">
      <c r="A46" s="14">
        <v>42</v>
      </c>
      <c r="B46" s="14" t="str">
        <f t="shared" si="1"/>
        <v xml:space="preserve"> - </v>
      </c>
      <c r="C46" s="17">
        <v>42</v>
      </c>
      <c r="D46" s="20"/>
      <c r="E46" s="20"/>
      <c r="F46" s="9"/>
      <c r="G46" s="9"/>
      <c r="H46" s="9"/>
      <c r="I46" s="9" t="s">
        <v>74</v>
      </c>
      <c r="J46" s="37" t="str">
        <f>IFERROR(VLOOKUP(I46,Auxiliar!$D$6:$E$105,2,FALSE),"")</f>
        <v/>
      </c>
      <c r="K46" s="20"/>
      <c r="M46" s="14">
        <v>8.9999999999999996E-7</v>
      </c>
      <c r="N46" s="14" t="s">
        <v>74</v>
      </c>
      <c r="O46" s="14" t="s">
        <v>73</v>
      </c>
    </row>
    <row r="47" spans="1:15" ht="30" customHeight="1">
      <c r="A47" s="14">
        <v>43</v>
      </c>
      <c r="B47" s="14" t="str">
        <f t="shared" si="1"/>
        <v xml:space="preserve"> - </v>
      </c>
      <c r="C47" s="17">
        <v>43</v>
      </c>
      <c r="D47" s="20"/>
      <c r="E47" s="20"/>
      <c r="F47" s="9"/>
      <c r="G47" s="9"/>
      <c r="H47" s="9"/>
      <c r="I47" s="9" t="s">
        <v>74</v>
      </c>
      <c r="J47" s="37" t="str">
        <f>IFERROR(VLOOKUP(I47,Auxiliar!$D$6:$E$105,2,FALSE),"")</f>
        <v/>
      </c>
      <c r="K47" s="20"/>
      <c r="M47" s="14">
        <v>7.9999999999999996E-7</v>
      </c>
      <c r="N47" s="14" t="s">
        <v>74</v>
      </c>
      <c r="O47" s="14" t="s">
        <v>73</v>
      </c>
    </row>
    <row r="48" spans="1:15" ht="30" customHeight="1">
      <c r="A48" s="14">
        <v>44</v>
      </c>
      <c r="B48" s="14" t="str">
        <f t="shared" si="1"/>
        <v xml:space="preserve"> - </v>
      </c>
      <c r="C48" s="17">
        <v>44</v>
      </c>
      <c r="D48" s="20"/>
      <c r="E48" s="20"/>
      <c r="F48" s="9"/>
      <c r="G48" s="9"/>
      <c r="H48" s="9"/>
      <c r="I48" s="9" t="s">
        <v>74</v>
      </c>
      <c r="J48" s="37" t="str">
        <f>IFERROR(VLOOKUP(I48,Auxiliar!$D$6:$E$105,2,FALSE),"")</f>
        <v/>
      </c>
      <c r="K48" s="20"/>
      <c r="M48" s="14">
        <v>6.9999999999999997E-7</v>
      </c>
      <c r="N48" s="14" t="s">
        <v>74</v>
      </c>
      <c r="O48" s="14" t="s">
        <v>73</v>
      </c>
    </row>
    <row r="49" spans="1:15" ht="30" customHeight="1">
      <c r="A49" s="14">
        <v>45</v>
      </c>
      <c r="B49" s="14" t="str">
        <f t="shared" si="1"/>
        <v xml:space="preserve"> - </v>
      </c>
      <c r="C49" s="17">
        <v>45</v>
      </c>
      <c r="D49" s="20"/>
      <c r="E49" s="20"/>
      <c r="F49" s="9"/>
      <c r="G49" s="9"/>
      <c r="H49" s="9"/>
      <c r="I49" s="9" t="s">
        <v>74</v>
      </c>
      <c r="J49" s="37" t="str">
        <f>IFERROR(VLOOKUP(I49,Auxiliar!$D$6:$E$105,2,FALSE),"")</f>
        <v/>
      </c>
      <c r="K49" s="20"/>
      <c r="M49" s="14">
        <v>5.9999999999999997E-7</v>
      </c>
      <c r="N49" s="14" t="s">
        <v>74</v>
      </c>
      <c r="O49" s="14" t="s">
        <v>73</v>
      </c>
    </row>
    <row r="50" spans="1:15" ht="30" customHeight="1">
      <c r="A50" s="14">
        <v>46</v>
      </c>
      <c r="B50" s="14" t="str">
        <f t="shared" si="1"/>
        <v xml:space="preserve"> - </v>
      </c>
      <c r="C50" s="17">
        <v>46</v>
      </c>
      <c r="D50" s="20"/>
      <c r="E50" s="20"/>
      <c r="F50" s="9"/>
      <c r="G50" s="9"/>
      <c r="H50" s="9"/>
      <c r="I50" s="9" t="s">
        <v>74</v>
      </c>
      <c r="J50" s="37" t="str">
        <f>IFERROR(VLOOKUP(I50,Auxiliar!$D$6:$E$105,2,FALSE),"")</f>
        <v/>
      </c>
      <c r="K50" s="20"/>
      <c r="M50" s="14">
        <v>4.9999999999999998E-7</v>
      </c>
      <c r="N50" s="14" t="s">
        <v>74</v>
      </c>
      <c r="O50" s="14" t="s">
        <v>73</v>
      </c>
    </row>
    <row r="51" spans="1:15" ht="30" customHeight="1">
      <c r="A51" s="14">
        <v>47</v>
      </c>
      <c r="B51" s="14" t="str">
        <f t="shared" si="1"/>
        <v xml:space="preserve"> - </v>
      </c>
      <c r="C51" s="17">
        <v>47</v>
      </c>
      <c r="D51" s="20"/>
      <c r="E51" s="20"/>
      <c r="F51" s="9"/>
      <c r="G51" s="9"/>
      <c r="H51" s="9"/>
      <c r="I51" s="9" t="s">
        <v>74</v>
      </c>
      <c r="J51" s="37" t="str">
        <f>IFERROR(VLOOKUP(I51,Auxiliar!$D$6:$E$105,2,FALSE),"")</f>
        <v/>
      </c>
      <c r="K51" s="20"/>
      <c r="M51" s="14">
        <v>3.9999999999999998E-7</v>
      </c>
      <c r="N51" s="14" t="s">
        <v>74</v>
      </c>
      <c r="O51" s="14" t="s">
        <v>73</v>
      </c>
    </row>
    <row r="52" spans="1:15" ht="30" customHeight="1">
      <c r="A52" s="14">
        <v>48</v>
      </c>
      <c r="B52" s="14" t="str">
        <f t="shared" si="1"/>
        <v xml:space="preserve"> - </v>
      </c>
      <c r="C52" s="17">
        <v>48</v>
      </c>
      <c r="D52" s="20"/>
      <c r="E52" s="20"/>
      <c r="F52" s="9"/>
      <c r="G52" s="9"/>
      <c r="H52" s="9"/>
      <c r="I52" s="9" t="s">
        <v>74</v>
      </c>
      <c r="J52" s="37" t="str">
        <f>IFERROR(VLOOKUP(I52,Auxiliar!$D$6:$E$105,2,FALSE),"")</f>
        <v/>
      </c>
      <c r="K52" s="20"/>
      <c r="M52" s="14">
        <v>2.9999999999999999E-7</v>
      </c>
      <c r="N52" s="14" t="s">
        <v>74</v>
      </c>
      <c r="O52" s="14" t="s">
        <v>73</v>
      </c>
    </row>
    <row r="53" spans="1:15" ht="30" customHeight="1">
      <c r="A53" s="14">
        <v>49</v>
      </c>
      <c r="B53" s="14" t="str">
        <f t="shared" si="1"/>
        <v xml:space="preserve"> - </v>
      </c>
      <c r="C53" s="17">
        <v>49</v>
      </c>
      <c r="D53" s="20"/>
      <c r="E53" s="20"/>
      <c r="F53" s="9"/>
      <c r="G53" s="9"/>
      <c r="H53" s="9"/>
      <c r="I53" s="9" t="s">
        <v>74</v>
      </c>
      <c r="J53" s="37" t="str">
        <f>IFERROR(VLOOKUP(I53,Auxiliar!$D$6:$E$105,2,FALSE),"")</f>
        <v/>
      </c>
      <c r="K53" s="20"/>
      <c r="M53" s="14">
        <v>1.9999999999999999E-7</v>
      </c>
      <c r="N53" s="14" t="s">
        <v>74</v>
      </c>
      <c r="O53" s="14" t="s">
        <v>73</v>
      </c>
    </row>
    <row r="54" spans="1:15" ht="30" customHeight="1">
      <c r="A54" s="14">
        <v>50</v>
      </c>
      <c r="B54" s="14" t="str">
        <f t="shared" si="1"/>
        <v xml:space="preserve"> - </v>
      </c>
      <c r="C54" s="17">
        <v>50</v>
      </c>
      <c r="D54" s="20"/>
      <c r="E54" s="20"/>
      <c r="F54" s="9"/>
      <c r="G54" s="9"/>
      <c r="H54" s="9"/>
      <c r="I54" s="9" t="s">
        <v>74</v>
      </c>
      <c r="J54" s="37" t="str">
        <f>IFERROR(VLOOKUP(I54,Auxiliar!$D$6:$E$105,2,FALSE),"")</f>
        <v/>
      </c>
      <c r="K54" s="20"/>
      <c r="M54" s="14">
        <v>9.9999999999999995E-8</v>
      </c>
      <c r="N54" s="14" t="s">
        <v>74</v>
      </c>
      <c r="O54" s="14" t="s">
        <v>73</v>
      </c>
    </row>
    <row r="55" spans="1:15" ht="30" customHeight="1"/>
    <row r="56" spans="1:15" ht="30" customHeight="1"/>
    <row r="57" spans="1:15" ht="30" customHeight="1"/>
    <row r="58" spans="1:15" ht="30" customHeight="1"/>
    <row r="59" spans="1:15" ht="30" customHeight="1"/>
    <row r="60" spans="1:15" ht="30" customHeight="1"/>
    <row r="61" spans="1:15" ht="30" customHeight="1"/>
    <row r="62" spans="1:15" ht="30" customHeight="1"/>
    <row r="63" spans="1:15" ht="30" customHeight="1"/>
    <row r="64" spans="1:15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</sheetData>
  <sheetProtection selectLockedCells="1" selectUnlockedCells="1"/>
  <autoFilter ref="C4:K4"/>
  <conditionalFormatting sqref="J5:J54">
    <cfRule type="containsText" dxfId="18" priority="2" operator="containsText" text="Crítico">
      <formula>NOT(ISERROR(SEARCH("Crítico",J5)))</formula>
    </cfRule>
    <cfRule type="containsText" dxfId="17" priority="3" operator="containsText" text="Elevado">
      <formula>NOT(ISERROR(SEARCH("Elevado",J5)))</formula>
    </cfRule>
    <cfRule type="containsText" dxfId="16" priority="4" operator="containsText" text="Moderado">
      <formula>NOT(ISERROR(SEARCH("Moderado",J5)))</formula>
    </cfRule>
    <cfRule type="containsText" dxfId="15" priority="5" operator="containsText" text="Baixo">
      <formula>NOT(ISERROR(SEARCH("Baixo",J5)))</formula>
    </cfRule>
  </conditionalFormatting>
  <conditionalFormatting sqref="D5:I54">
    <cfRule type="notContainsBlanks" dxfId="14" priority="1" stopIfTrue="1">
      <formula>LEN(TRIM(D5))&gt;0</formula>
    </cfRule>
  </conditionalFormatting>
  <dataValidations count="1">
    <dataValidation type="list" allowBlank="1" showInputMessage="1" showErrorMessage="1" sqref="F5:H54">
      <formula1>"1,2,3,4,5,6,7,8,9,10"</formula1>
    </dataValidation>
  </dataValidations>
  <pageMargins left="0.7" right="0.7" top="0.75" bottom="0.75" header="0.3" footer="0.3"/>
  <pageSetup paperSize="9" scale="48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C1:N534"/>
  <sheetViews>
    <sheetView showGridLines="0" zoomScale="90" zoomScaleNormal="90" zoomScalePageLayoutView="80" workbookViewId="0">
      <pane ySplit="2" topLeftCell="A3" activePane="bottomLeft" state="frozen"/>
      <selection pane="bottomLeft"/>
    </sheetView>
  </sheetViews>
  <sheetFormatPr defaultColWidth="11" defaultRowHeight="15.75"/>
  <cols>
    <col min="1" max="1" width="2.125" style="42" customWidth="1"/>
    <col min="2" max="2" width="1.375" style="42" customWidth="1"/>
    <col min="3" max="3" width="6.25" style="42" customWidth="1"/>
    <col min="4" max="4" width="9.375" style="42" customWidth="1"/>
    <col min="5" max="14" width="8" style="42" customWidth="1"/>
    <col min="15" max="24" width="10.75" style="42" customWidth="1"/>
    <col min="25" max="16384" width="11" style="42"/>
  </cols>
  <sheetData>
    <row r="1" spans="3:14" s="5" customFormat="1" ht="39" customHeight="1">
      <c r="E1" s="41"/>
      <c r="F1" s="41"/>
      <c r="G1" s="41"/>
      <c r="H1" s="41"/>
      <c r="I1" s="41"/>
    </row>
    <row r="2" spans="3:14" s="60" customFormat="1" ht="30" customHeight="1">
      <c r="C2" s="58"/>
      <c r="D2" s="59"/>
      <c r="E2" s="59"/>
      <c r="F2" s="59"/>
      <c r="G2" s="59"/>
      <c r="H2" s="59"/>
      <c r="I2" s="59"/>
      <c r="J2" s="59"/>
    </row>
    <row r="3" spans="3:14" ht="7.5" customHeight="1">
      <c r="C3" s="43"/>
      <c r="D3" s="44"/>
      <c r="E3" s="44"/>
      <c r="F3" s="44"/>
      <c r="G3" s="45"/>
      <c r="H3" s="44"/>
      <c r="I3" s="44"/>
      <c r="J3" s="44"/>
    </row>
    <row r="4" spans="3:14" ht="30" customHeight="1">
      <c r="C4" s="46" t="s">
        <v>20</v>
      </c>
      <c r="I4" s="47"/>
      <c r="K4" s="47" t="s">
        <v>25</v>
      </c>
    </row>
    <row r="5" spans="3:14" ht="7.5" customHeight="1"/>
    <row r="6" spans="3:14" ht="23.25" customHeight="1">
      <c r="C6" s="72" t="s">
        <v>7</v>
      </c>
      <c r="D6" s="48">
        <v>10</v>
      </c>
      <c r="E6" s="49" t="str">
        <f>IF(AND(Auxiliar!$E$2=1,Auxiliar!$F$2=10),"X","")</f>
        <v/>
      </c>
      <c r="F6" s="49" t="str">
        <f>IF(AND(Auxiliar!$E$2=2,Auxiliar!$F$2=10),"X","")</f>
        <v/>
      </c>
      <c r="G6" s="49" t="str">
        <f>IF(AND(Auxiliar!$E$2=3,Auxiliar!$F$2=10),"X","")</f>
        <v/>
      </c>
      <c r="H6" s="49" t="str">
        <f>IF(AND(Auxiliar!$E$2=4,Auxiliar!$F$2=10),"X","")</f>
        <v/>
      </c>
      <c r="I6" s="49" t="str">
        <f>IF(AND(Auxiliar!$E$2=5,Auxiliar!$F$2=10),"X","")</f>
        <v/>
      </c>
      <c r="J6" s="49" t="str">
        <f>IF(AND(Auxiliar!$E$2=6,Auxiliar!$F$2=10),"X","")</f>
        <v/>
      </c>
      <c r="K6" s="49" t="str">
        <f>IF(AND(Auxiliar!$E$2=7,Auxiliar!$F$2=10),"X","")</f>
        <v/>
      </c>
      <c r="L6" s="49" t="str">
        <f>IF(AND(Auxiliar!$E$2=8,Auxiliar!$F$2=10),"X","")</f>
        <v/>
      </c>
      <c r="M6" s="49" t="str">
        <f>IF(AND(Auxiliar!$E$2=9,Auxiliar!$F$2=10),"X","")</f>
        <v/>
      </c>
      <c r="N6" s="49" t="str">
        <f>IF(AND(Auxiliar!$E$2=10,Auxiliar!$F$2=10),"X","")</f>
        <v/>
      </c>
    </row>
    <row r="7" spans="3:14" ht="23.25" customHeight="1">
      <c r="C7" s="73"/>
      <c r="D7" s="48">
        <v>9</v>
      </c>
      <c r="E7" s="49" t="str">
        <f>IF(AND(Auxiliar!$E$2=1,Auxiliar!$F$2=9),"X","")</f>
        <v/>
      </c>
      <c r="F7" s="49" t="str">
        <f>IF(AND(Auxiliar!$E$2=2,Auxiliar!$F$2=9),"X","")</f>
        <v/>
      </c>
      <c r="G7" s="49" t="str">
        <f>IF(AND(Auxiliar!$E$2=3,Auxiliar!$F$2=9),"X","")</f>
        <v/>
      </c>
      <c r="H7" s="49" t="str">
        <f>IF(AND(Auxiliar!$E$2=4,Auxiliar!$F$2=9),"X","")</f>
        <v/>
      </c>
      <c r="I7" s="49" t="str">
        <f>IF(AND(Auxiliar!$E$2=5,Auxiliar!$F$2=9),"X","")</f>
        <v/>
      </c>
      <c r="J7" s="49" t="str">
        <f>IF(AND(Auxiliar!$E$2=6,Auxiliar!$F$2=9),"X","")</f>
        <v/>
      </c>
      <c r="K7" s="49" t="str">
        <f>IF(AND(Auxiliar!$E$2=7,Auxiliar!$F$2=9),"X","")</f>
        <v/>
      </c>
      <c r="L7" s="49" t="str">
        <f>IF(AND(Auxiliar!$E$2=8,Auxiliar!$F$2=9),"X","")</f>
        <v/>
      </c>
      <c r="M7" s="49" t="str">
        <f>IF(AND(Auxiliar!$E$2=9,Auxiliar!$F$2=9),"X","")</f>
        <v/>
      </c>
      <c r="N7" s="49" t="str">
        <f>IF(AND(Auxiliar!$E$2=9,Auxiliar!$F$2=10),"X","")</f>
        <v/>
      </c>
    </row>
    <row r="8" spans="3:14" ht="23.25" customHeight="1">
      <c r="C8" s="73"/>
      <c r="D8" s="48">
        <v>8</v>
      </c>
      <c r="E8" s="52" t="str">
        <f>IF(AND(Auxiliar!$E$2=1,Auxiliar!$F$2=8),"X","")</f>
        <v>X</v>
      </c>
      <c r="F8" s="50" t="str">
        <f>IF(AND(Auxiliar!$E$2=2,Auxiliar!$F$2=8),"X","")</f>
        <v/>
      </c>
      <c r="G8" s="50" t="str">
        <f>IF(AND(Auxiliar!$E$2=3,Auxiliar!$F$2=8),"X","")</f>
        <v/>
      </c>
      <c r="H8" s="51" t="str">
        <f>IF(AND(Auxiliar!$E$2=4,Auxiliar!$F$2=8),"X","")</f>
        <v/>
      </c>
      <c r="I8" s="51" t="str">
        <f>IF(AND(Auxiliar!$E$2=5,Auxiliar!$F$2=8),"X","")</f>
        <v/>
      </c>
      <c r="J8" s="51" t="str">
        <f>IF(AND(Auxiliar!$E$2=6,Auxiliar!$F$2=8),"X","")</f>
        <v/>
      </c>
      <c r="K8" s="51" t="str">
        <f>IF(AND(Auxiliar!$E$2=7,Auxiliar!$F$2=8),"X","")</f>
        <v/>
      </c>
      <c r="L8" s="51" t="str">
        <f>IF(AND(Auxiliar!$E$2=8,Auxiliar!$F$2=8),"X","")</f>
        <v/>
      </c>
      <c r="M8" s="51" t="str">
        <f>IF(AND(Auxiliar!$E$2=9,Auxiliar!$F$2=8),"X","")</f>
        <v/>
      </c>
      <c r="N8" s="51" t="str">
        <f>IF(AND(Auxiliar!$E$2=8,Auxiliar!$F$2=10),"X","")</f>
        <v/>
      </c>
    </row>
    <row r="9" spans="3:14" ht="23.25" customHeight="1">
      <c r="C9" s="73"/>
      <c r="D9" s="48">
        <v>7</v>
      </c>
      <c r="E9" s="52" t="str">
        <f>IF(AND(Auxiliar!$E$2=1,Auxiliar!$F$2=7),"X","")</f>
        <v/>
      </c>
      <c r="F9" s="50" t="str">
        <f>IF(AND(Auxiliar!$E$2=2,Auxiliar!$F$2=7),"X","")</f>
        <v/>
      </c>
      <c r="G9" s="50" t="str">
        <f>IF(AND(Auxiliar!$E$2=3,Auxiliar!$F$2=7),"X","")</f>
        <v/>
      </c>
      <c r="H9" s="51" t="str">
        <f>IF(AND(Auxiliar!$E$2=4,Auxiliar!$F$2=7),"X","")</f>
        <v/>
      </c>
      <c r="I9" s="51" t="str">
        <f>IF(AND(Auxiliar!$E$2=5,Auxiliar!$F$2=7),"X","")</f>
        <v/>
      </c>
      <c r="J9" s="51" t="str">
        <f>IF(AND(Auxiliar!$E$2=6,Auxiliar!$F$2=7),"X","")</f>
        <v/>
      </c>
      <c r="K9" s="51" t="str">
        <f>IF(AND(Auxiliar!$E$2=7,Auxiliar!$F$2=7),"X","")</f>
        <v/>
      </c>
      <c r="L9" s="51" t="str">
        <f>IF(AND(Auxiliar!$E$2=8,Auxiliar!$F$2=7),"X","")</f>
        <v/>
      </c>
      <c r="M9" s="51" t="str">
        <f>IF(AND(Auxiliar!$E$2=9,Auxiliar!$F$2=7),"X","")</f>
        <v/>
      </c>
      <c r="N9" s="51" t="str">
        <f>IF(AND(Auxiliar!$E$2=7,Auxiliar!$F$2=10),"X","")</f>
        <v/>
      </c>
    </row>
    <row r="10" spans="3:14" ht="23.25" customHeight="1">
      <c r="C10" s="73"/>
      <c r="D10" s="48">
        <v>6</v>
      </c>
      <c r="E10" s="52" t="str">
        <f>IF(AND(Auxiliar!$E$2=1,Auxiliar!$F$2=6),"X","")</f>
        <v/>
      </c>
      <c r="F10" s="50" t="str">
        <f>IF(AND(Auxiliar!$E$2=2,Auxiliar!$F$2=6),"X","")</f>
        <v/>
      </c>
      <c r="G10" s="50" t="str">
        <f>IF(AND(Auxiliar!$E$2=3,Auxiliar!$F$2=6),"X","")</f>
        <v/>
      </c>
      <c r="H10" s="51" t="str">
        <f>IF(AND(Auxiliar!$E$2=4,Auxiliar!$F$2=6),"X","")</f>
        <v/>
      </c>
      <c r="I10" s="51" t="str">
        <f>IF(AND(Auxiliar!$E$2=5,Auxiliar!$F$2=6),"X","")</f>
        <v/>
      </c>
      <c r="J10" s="51" t="str">
        <f>IF(AND(Auxiliar!$E$2=6,Auxiliar!$F$2=6),"X","")</f>
        <v/>
      </c>
      <c r="K10" s="51" t="str">
        <f>IF(AND(Auxiliar!$E$2=7,Auxiliar!$F$2=6),"X","")</f>
        <v/>
      </c>
      <c r="L10" s="51" t="str">
        <f>IF(AND(Auxiliar!$E$2=8,Auxiliar!$F$2=6),"X","")</f>
        <v/>
      </c>
      <c r="M10" s="51" t="str">
        <f>IF(AND(Auxiliar!$E$2=9,Auxiliar!$F$2=6),"X","")</f>
        <v/>
      </c>
      <c r="N10" s="51" t="str">
        <f>IF(AND(Auxiliar!$E$2=6,Auxiliar!$F$2=10),"X","")</f>
        <v/>
      </c>
    </row>
    <row r="11" spans="3:14" ht="23.25" customHeight="1">
      <c r="C11" s="73"/>
      <c r="D11" s="48">
        <v>5</v>
      </c>
      <c r="E11" s="52" t="str">
        <f>IF(AND(Auxiliar!$E$2=1,Auxiliar!$F$2=5),"X","")</f>
        <v/>
      </c>
      <c r="F11" s="50" t="str">
        <f>IF(AND(Auxiliar!$E$2=2,Auxiliar!$F$2=5),"X","")</f>
        <v/>
      </c>
      <c r="G11" s="50" t="str">
        <f>IF(AND(Auxiliar!$E$2=3,Auxiliar!$F$2=5),"X","")</f>
        <v/>
      </c>
      <c r="H11" s="51" t="str">
        <f>IF(AND(Auxiliar!$E$2=4,Auxiliar!$F$2=5),"X","")</f>
        <v/>
      </c>
      <c r="I11" s="51" t="str">
        <f>IF(AND(Auxiliar!$E$2=5,Auxiliar!$F$2=5),"X","")</f>
        <v/>
      </c>
      <c r="J11" s="51" t="str">
        <f>IF(AND(Auxiliar!$E$2=6,Auxiliar!$F$2=5),"X","")</f>
        <v/>
      </c>
      <c r="K11" s="51" t="str">
        <f>IF(AND(Auxiliar!$E$2=7,Auxiliar!$F$2=5),"X","")</f>
        <v/>
      </c>
      <c r="L11" s="51" t="str">
        <f>IF(AND(Auxiliar!$E$2=8,Auxiliar!$F$2=5),"X","")</f>
        <v/>
      </c>
      <c r="M11" s="51" t="str">
        <f>IF(AND(Auxiliar!$E$2=9,Auxiliar!$F$2=5),"X","")</f>
        <v/>
      </c>
      <c r="N11" s="51" t="str">
        <f>IF(AND(Auxiliar!$E$2=5,Auxiliar!$F$2=10),"X","")</f>
        <v/>
      </c>
    </row>
    <row r="12" spans="3:14" ht="23.25" customHeight="1">
      <c r="C12" s="73"/>
      <c r="D12" s="48">
        <v>4</v>
      </c>
      <c r="E12" s="52" t="str">
        <f>IF(AND(Auxiliar!$E$2=1,Auxiliar!$F$2=4),"X","")</f>
        <v/>
      </c>
      <c r="F12" s="52" t="str">
        <f>IF(AND(Auxiliar!$E$2=2,Auxiliar!$F$2=4),"X","")</f>
        <v/>
      </c>
      <c r="G12" s="50" t="str">
        <f>IF(AND(Auxiliar!$E$2=3,Auxiliar!$F$2=4),"X","")</f>
        <v/>
      </c>
      <c r="H12" s="50" t="str">
        <f>IF(AND(Auxiliar!$E$2=4,Auxiliar!$F$2=4),"X","")</f>
        <v/>
      </c>
      <c r="I12" s="50" t="str">
        <f>IF(AND(Auxiliar!$E$2=5,Auxiliar!$F$2=4),"X","")</f>
        <v/>
      </c>
      <c r="J12" s="50" t="str">
        <f>IF(AND(Auxiliar!$E$2=6,Auxiliar!$F$2=4),"X","")</f>
        <v/>
      </c>
      <c r="K12" s="51" t="str">
        <f>IF(AND(Auxiliar!$E$2=7,Auxiliar!$F$2=4),"X","")</f>
        <v/>
      </c>
      <c r="L12" s="51" t="str">
        <f>IF(AND(Auxiliar!$E$2=8,Auxiliar!$F$2=4),"X","")</f>
        <v/>
      </c>
      <c r="M12" s="51" t="str">
        <f>IF(AND(Auxiliar!$E$2=9,Auxiliar!$F$2=4),"X","")</f>
        <v/>
      </c>
      <c r="N12" s="51" t="str">
        <f>IF(AND(Auxiliar!$E$2=4,Auxiliar!$F$2=10),"X","")</f>
        <v/>
      </c>
    </row>
    <row r="13" spans="3:14" ht="23.25" customHeight="1">
      <c r="C13" s="73"/>
      <c r="D13" s="48">
        <v>3</v>
      </c>
      <c r="E13" s="52" t="str">
        <f>IF(AND(Auxiliar!$E$2=1,Auxiliar!$F$2=3),"X","")</f>
        <v/>
      </c>
      <c r="F13" s="52" t="str">
        <f>IF(AND(Auxiliar!$E$2=2,Auxiliar!$F$2=3),"X","")</f>
        <v/>
      </c>
      <c r="G13" s="52" t="str">
        <f>IF(AND(Auxiliar!$E$2=3,Auxiliar!$F$2=3),"X","")</f>
        <v/>
      </c>
      <c r="H13" s="50" t="str">
        <f>IF(AND(Auxiliar!$E$2=4,Auxiliar!$F$2=3),"X","")</f>
        <v/>
      </c>
      <c r="I13" s="50" t="str">
        <f>IF(AND(Auxiliar!$E$2=5,Auxiliar!$F$2=3),"X","")</f>
        <v/>
      </c>
      <c r="J13" s="50" t="str">
        <f>IF(AND(Auxiliar!$E$2=6,Auxiliar!$F$2=3),"X","")</f>
        <v/>
      </c>
      <c r="K13" s="50" t="str">
        <f>IF(AND(Auxiliar!$E$2=7,Auxiliar!$F$2=3),"X","")</f>
        <v/>
      </c>
      <c r="L13" s="50" t="str">
        <f>IF(AND(Auxiliar!$E$2=8,Auxiliar!$F$2=3),"X","")</f>
        <v/>
      </c>
      <c r="M13" s="51" t="str">
        <f>IF(AND(Auxiliar!$E$2=9,Auxiliar!$F$2=3),"X","")</f>
        <v/>
      </c>
      <c r="N13" s="51" t="str">
        <f>IF(AND(Auxiliar!$E$2=3,Auxiliar!$F$2=10),"X","")</f>
        <v/>
      </c>
    </row>
    <row r="14" spans="3:14" ht="23.25" customHeight="1">
      <c r="C14" s="73"/>
      <c r="D14" s="48">
        <v>2</v>
      </c>
      <c r="E14" s="52" t="str">
        <f>IF(AND(Auxiliar!$E$2=1,Auxiliar!$F$2=2),"X","")</f>
        <v/>
      </c>
      <c r="F14" s="52" t="str">
        <f>IF(AND(Auxiliar!$E$2=2,Auxiliar!$F$2=2),"X","")</f>
        <v/>
      </c>
      <c r="G14" s="52" t="str">
        <f>IF(AND(Auxiliar!$E$2=3,Auxiliar!$F$2=2),"X","")</f>
        <v/>
      </c>
      <c r="H14" s="52" t="str">
        <f>IF(AND(Auxiliar!$E$2=4,Auxiliar!$F$2=2),"X","")</f>
        <v/>
      </c>
      <c r="I14" s="50" t="str">
        <f>IF(AND(Auxiliar!$E$2=5,Auxiliar!$F$2=2),"X","")</f>
        <v/>
      </c>
      <c r="J14" s="50" t="str">
        <f>IF(AND(Auxiliar!$E$2=6,Auxiliar!$F$2=2),"X","")</f>
        <v/>
      </c>
      <c r="K14" s="50" t="str">
        <f>IF(AND(Auxiliar!$E$2=7,Auxiliar!$F$2=2),"X","")</f>
        <v/>
      </c>
      <c r="L14" s="50" t="str">
        <f>IF(AND(Auxiliar!$E$2=8,Auxiliar!$F$2=2),"X","")</f>
        <v/>
      </c>
      <c r="M14" s="50" t="str">
        <f>IF(AND(Auxiliar!$E$2=9,Auxiliar!$F$2=2),"X","")</f>
        <v/>
      </c>
      <c r="N14" s="50" t="str">
        <f>IF(AND(Auxiliar!$E$2=2,Auxiliar!$F$2=10),"X","")</f>
        <v/>
      </c>
    </row>
    <row r="15" spans="3:14" ht="23.25" customHeight="1">
      <c r="C15" s="74"/>
      <c r="D15" s="48">
        <v>1</v>
      </c>
      <c r="E15" s="52" t="str">
        <f>IF(AND(Auxiliar!$E$2=1,Auxiliar!$F$2=1),"X","")</f>
        <v/>
      </c>
      <c r="F15" s="52" t="str">
        <f>IF(AND(Auxiliar!$E$2=2,Auxiliar!$F$2=1),"X","")</f>
        <v/>
      </c>
      <c r="G15" s="52" t="str">
        <f>IF(AND(Auxiliar!$E$2=3,Auxiliar!$F$2=1),"X","")</f>
        <v/>
      </c>
      <c r="H15" s="52" t="str">
        <f>IF(AND(Auxiliar!$E$2=4,Auxiliar!$F$2=1),"X","")</f>
        <v/>
      </c>
      <c r="I15" s="52" t="str">
        <f>IF(AND(Auxiliar!$E$2=5,Auxiliar!$F$2=1),"X","")</f>
        <v/>
      </c>
      <c r="J15" s="52" t="str">
        <f>IF(AND(Auxiliar!$E$2=6,Auxiliar!$F$2=1),"X","")</f>
        <v/>
      </c>
      <c r="K15" s="52" t="str">
        <f>IF(AND(Auxiliar!$E$2=7,Auxiliar!$F$2=1),"X","")</f>
        <v/>
      </c>
      <c r="L15" s="52" t="str">
        <f>IF(AND(Auxiliar!$E$2=8,Auxiliar!$F$2=1),"X","")</f>
        <v/>
      </c>
      <c r="M15" s="52" t="str">
        <f>IF(AND(Auxiliar!$E$2=9,Auxiliar!$F$2=1),"X","")</f>
        <v/>
      </c>
      <c r="N15" s="52" t="str">
        <f>IF(AND(Auxiliar!$E$2=1,Auxiliar!$F$2=10),"X","")</f>
        <v/>
      </c>
    </row>
    <row r="16" spans="3:14" ht="23.25" customHeight="1">
      <c r="E16" s="53">
        <v>1</v>
      </c>
      <c r="F16" s="53">
        <v>2</v>
      </c>
      <c r="G16" s="53">
        <v>3</v>
      </c>
      <c r="H16" s="53">
        <v>4</v>
      </c>
      <c r="I16" s="53">
        <v>5</v>
      </c>
      <c r="J16" s="53">
        <v>6</v>
      </c>
      <c r="K16" s="53">
        <v>7</v>
      </c>
      <c r="L16" s="53">
        <v>8</v>
      </c>
      <c r="M16" s="53">
        <v>9</v>
      </c>
      <c r="N16" s="53">
        <v>10</v>
      </c>
    </row>
    <row r="17" spans="5:14" ht="23.25" customHeight="1">
      <c r="E17" s="69" t="s">
        <v>16</v>
      </c>
      <c r="F17" s="70"/>
      <c r="G17" s="70"/>
      <c r="H17" s="70"/>
      <c r="I17" s="70"/>
      <c r="J17" s="70"/>
      <c r="K17" s="70"/>
      <c r="L17" s="70"/>
      <c r="M17" s="70"/>
      <c r="N17" s="71"/>
    </row>
    <row r="18" spans="5:14" ht="30" customHeight="1"/>
    <row r="19" spans="5:14" ht="30" customHeight="1"/>
    <row r="20" spans="5:14" ht="30" customHeight="1"/>
    <row r="21" spans="5:14" ht="30" customHeight="1"/>
    <row r="22" spans="5:14" ht="30" customHeight="1"/>
    <row r="23" spans="5:14" ht="30" customHeight="1"/>
    <row r="24" spans="5:14" ht="30" customHeight="1"/>
    <row r="25" spans="5:14" ht="30" customHeight="1"/>
    <row r="26" spans="5:14" ht="30" customHeight="1"/>
    <row r="27" spans="5:14" ht="30" customHeight="1"/>
    <row r="28" spans="5:14" ht="30" customHeight="1"/>
    <row r="29" spans="5:14" ht="30" customHeight="1"/>
    <row r="30" spans="5:14" ht="30" customHeight="1"/>
    <row r="31" spans="5:14" ht="30" customHeight="1"/>
    <row r="32" spans="5:14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</sheetData>
  <sheetProtection selectLockedCells="1"/>
  <mergeCells count="2">
    <mergeCell ref="E17:N17"/>
    <mergeCell ref="C6:C15"/>
  </mergeCells>
  <conditionalFormatting sqref="E6:N7">
    <cfRule type="cellIs" dxfId="13" priority="4" operator="equal">
      <formula>"X"</formula>
    </cfRule>
  </conditionalFormatting>
  <conditionalFormatting sqref="H8:N11 K12:N12 M13:N13">
    <cfRule type="cellIs" dxfId="12" priority="3" operator="equal">
      <formula>"X"</formula>
    </cfRule>
  </conditionalFormatting>
  <conditionalFormatting sqref="F8:G11 G12:J12 H13:L13 I14:N14">
    <cfRule type="cellIs" dxfId="11" priority="2" operator="equal">
      <formula>"X"</formula>
    </cfRule>
  </conditionalFormatting>
  <conditionalFormatting sqref="E8:E15 F12:F15 G13:G15 H14:H15 I15:N15">
    <cfRule type="cellIs" dxfId="10" priority="1" operator="equal">
      <formula>"X"</formula>
    </cfRule>
  </conditionalFormatting>
  <pageMargins left="0.7" right="0.7" top="0.75" bottom="0.75" header="0.3" footer="0.3"/>
  <pageSetup paperSize="9" fitToHeight="0" orientation="landscape" r:id="rId1"/>
  <ignoredErrors>
    <ignoredError sqref="E6:N15" unlocked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9"/>
  <dimension ref="A1:C101"/>
  <sheetViews>
    <sheetView workbookViewId="0"/>
  </sheetViews>
  <sheetFormatPr defaultRowHeight="15.75"/>
  <cols>
    <col min="3" max="3" width="14.125" bestFit="1" customWidth="1"/>
  </cols>
  <sheetData>
    <row r="1" spans="1:3">
      <c r="A1" t="s">
        <v>93</v>
      </c>
      <c r="B1" t="s">
        <v>94</v>
      </c>
      <c r="C1" t="s">
        <v>50</v>
      </c>
    </row>
    <row r="2" spans="1:3">
      <c r="A2">
        <v>1</v>
      </c>
      <c r="B2">
        <v>1</v>
      </c>
      <c r="C2" t="s">
        <v>52</v>
      </c>
    </row>
    <row r="3" spans="1:3">
      <c r="A3">
        <v>1</v>
      </c>
      <c r="B3">
        <v>2</v>
      </c>
      <c r="C3" t="s">
        <v>52</v>
      </c>
    </row>
    <row r="4" spans="1:3">
      <c r="A4">
        <v>1</v>
      </c>
      <c r="B4">
        <v>3</v>
      </c>
      <c r="C4" t="s">
        <v>52</v>
      </c>
    </row>
    <row r="5" spans="1:3">
      <c r="A5">
        <v>1</v>
      </c>
      <c r="B5">
        <v>4</v>
      </c>
      <c r="C5" t="s">
        <v>52</v>
      </c>
    </row>
    <row r="6" spans="1:3">
      <c r="A6">
        <v>1</v>
      </c>
      <c r="B6">
        <v>5</v>
      </c>
      <c r="C6" t="s">
        <v>52</v>
      </c>
    </row>
    <row r="7" spans="1:3">
      <c r="A7">
        <v>1</v>
      </c>
      <c r="B7">
        <v>6</v>
      </c>
      <c r="C7" t="s">
        <v>52</v>
      </c>
    </row>
    <row r="8" spans="1:3">
      <c r="A8">
        <v>1</v>
      </c>
      <c r="B8">
        <v>7</v>
      </c>
      <c r="C8" t="s">
        <v>52</v>
      </c>
    </row>
    <row r="9" spans="1:3">
      <c r="A9">
        <v>1</v>
      </c>
      <c r="B9">
        <v>8</v>
      </c>
      <c r="C9" t="s">
        <v>52</v>
      </c>
    </row>
    <row r="10" spans="1:3">
      <c r="A10">
        <v>1</v>
      </c>
      <c r="B10">
        <v>9</v>
      </c>
      <c r="C10" t="s">
        <v>52</v>
      </c>
    </row>
    <row r="11" spans="1:3">
      <c r="A11">
        <v>1</v>
      </c>
      <c r="B11">
        <v>10</v>
      </c>
      <c r="C11" t="s">
        <v>52</v>
      </c>
    </row>
    <row r="12" spans="1:3">
      <c r="A12">
        <v>2</v>
      </c>
      <c r="B12">
        <v>1</v>
      </c>
      <c r="C12" t="s">
        <v>52</v>
      </c>
    </row>
    <row r="13" spans="1:3">
      <c r="A13">
        <v>2</v>
      </c>
      <c r="B13">
        <v>2</v>
      </c>
      <c r="C13" t="s">
        <v>52</v>
      </c>
    </row>
    <row r="14" spans="1:3">
      <c r="A14">
        <v>2</v>
      </c>
      <c r="B14">
        <v>3</v>
      </c>
      <c r="C14" t="s">
        <v>52</v>
      </c>
    </row>
    <row r="15" spans="1:3">
      <c r="A15">
        <v>2</v>
      </c>
      <c r="B15">
        <v>4</v>
      </c>
      <c r="C15" t="s">
        <v>52</v>
      </c>
    </row>
    <row r="16" spans="1:3">
      <c r="A16">
        <v>2</v>
      </c>
      <c r="B16">
        <v>5</v>
      </c>
      <c r="C16" t="s">
        <v>56</v>
      </c>
    </row>
    <row r="17" spans="1:3">
      <c r="A17">
        <v>2</v>
      </c>
      <c r="B17">
        <v>6</v>
      </c>
      <c r="C17" t="s">
        <v>56</v>
      </c>
    </row>
    <row r="18" spans="1:3">
      <c r="A18">
        <v>2</v>
      </c>
      <c r="B18">
        <v>7</v>
      </c>
      <c r="C18" t="s">
        <v>56</v>
      </c>
    </row>
    <row r="19" spans="1:3">
      <c r="A19">
        <v>2</v>
      </c>
      <c r="B19">
        <v>8</v>
      </c>
      <c r="C19" t="s">
        <v>56</v>
      </c>
    </row>
    <row r="20" spans="1:3">
      <c r="A20">
        <v>2</v>
      </c>
      <c r="B20">
        <v>9</v>
      </c>
      <c r="C20" t="s">
        <v>56</v>
      </c>
    </row>
    <row r="21" spans="1:3">
      <c r="A21">
        <v>2</v>
      </c>
      <c r="B21">
        <v>10</v>
      </c>
      <c r="C21" t="s">
        <v>56</v>
      </c>
    </row>
    <row r="22" spans="1:3">
      <c r="A22">
        <v>3</v>
      </c>
      <c r="B22">
        <v>1</v>
      </c>
      <c r="C22" t="s">
        <v>52</v>
      </c>
    </row>
    <row r="23" spans="1:3">
      <c r="A23">
        <v>3</v>
      </c>
      <c r="B23">
        <v>2</v>
      </c>
      <c r="C23" t="s">
        <v>52</v>
      </c>
    </row>
    <row r="24" spans="1:3">
      <c r="A24">
        <v>3</v>
      </c>
      <c r="B24">
        <v>3</v>
      </c>
      <c r="C24" t="s">
        <v>52</v>
      </c>
    </row>
    <row r="25" spans="1:3">
      <c r="A25">
        <v>3</v>
      </c>
      <c r="B25">
        <v>4</v>
      </c>
      <c r="C25" t="s">
        <v>56</v>
      </c>
    </row>
    <row r="26" spans="1:3">
      <c r="A26">
        <v>3</v>
      </c>
      <c r="B26">
        <v>5</v>
      </c>
      <c r="C26" t="s">
        <v>56</v>
      </c>
    </row>
    <row r="27" spans="1:3">
      <c r="A27">
        <v>3</v>
      </c>
      <c r="B27">
        <v>6</v>
      </c>
      <c r="C27" t="s">
        <v>56</v>
      </c>
    </row>
    <row r="28" spans="1:3">
      <c r="A28">
        <v>3</v>
      </c>
      <c r="B28">
        <v>7</v>
      </c>
      <c r="C28" t="s">
        <v>56</v>
      </c>
    </row>
    <row r="29" spans="1:3">
      <c r="A29">
        <v>3</v>
      </c>
      <c r="B29">
        <v>8</v>
      </c>
      <c r="C29" t="s">
        <v>56</v>
      </c>
    </row>
    <row r="30" spans="1:3">
      <c r="A30">
        <v>3</v>
      </c>
      <c r="B30">
        <v>9</v>
      </c>
      <c r="C30" t="s">
        <v>53</v>
      </c>
    </row>
    <row r="31" spans="1:3">
      <c r="A31">
        <v>3</v>
      </c>
      <c r="B31">
        <v>10</v>
      </c>
      <c r="C31" t="s">
        <v>53</v>
      </c>
    </row>
    <row r="32" spans="1:3">
      <c r="A32">
        <v>4</v>
      </c>
      <c r="B32">
        <v>1</v>
      </c>
      <c r="C32" t="s">
        <v>52</v>
      </c>
    </row>
    <row r="33" spans="1:3">
      <c r="A33">
        <v>4</v>
      </c>
      <c r="B33">
        <v>2</v>
      </c>
      <c r="C33" t="s">
        <v>52</v>
      </c>
    </row>
    <row r="34" spans="1:3">
      <c r="A34">
        <v>4</v>
      </c>
      <c r="B34">
        <v>3</v>
      </c>
      <c r="C34" t="s">
        <v>56</v>
      </c>
    </row>
    <row r="35" spans="1:3">
      <c r="A35">
        <v>4</v>
      </c>
      <c r="B35">
        <v>4</v>
      </c>
      <c r="C35" t="s">
        <v>56</v>
      </c>
    </row>
    <row r="36" spans="1:3">
      <c r="A36">
        <v>4</v>
      </c>
      <c r="B36">
        <v>5</v>
      </c>
      <c r="C36" t="s">
        <v>56</v>
      </c>
    </row>
    <row r="37" spans="1:3">
      <c r="A37">
        <v>4</v>
      </c>
      <c r="B37">
        <v>6</v>
      </c>
      <c r="C37" t="s">
        <v>56</v>
      </c>
    </row>
    <row r="38" spans="1:3">
      <c r="A38">
        <v>4</v>
      </c>
      <c r="B38">
        <v>7</v>
      </c>
      <c r="C38" t="s">
        <v>53</v>
      </c>
    </row>
    <row r="39" spans="1:3">
      <c r="A39">
        <v>4</v>
      </c>
      <c r="B39">
        <v>8</v>
      </c>
      <c r="C39" t="s">
        <v>53</v>
      </c>
    </row>
    <row r="40" spans="1:3">
      <c r="A40">
        <v>4</v>
      </c>
      <c r="B40">
        <v>9</v>
      </c>
      <c r="C40" t="s">
        <v>53</v>
      </c>
    </row>
    <row r="41" spans="1:3">
      <c r="A41">
        <v>4</v>
      </c>
      <c r="B41">
        <v>10</v>
      </c>
      <c r="C41" t="s">
        <v>53</v>
      </c>
    </row>
    <row r="42" spans="1:3">
      <c r="A42">
        <v>5</v>
      </c>
      <c r="B42">
        <v>1</v>
      </c>
      <c r="C42" t="s">
        <v>52</v>
      </c>
    </row>
    <row r="43" spans="1:3">
      <c r="A43">
        <v>5</v>
      </c>
      <c r="B43">
        <v>2</v>
      </c>
      <c r="C43" t="s">
        <v>56</v>
      </c>
    </row>
    <row r="44" spans="1:3">
      <c r="A44">
        <v>5</v>
      </c>
      <c r="B44">
        <v>3</v>
      </c>
      <c r="C44" t="s">
        <v>56</v>
      </c>
    </row>
    <row r="45" spans="1:3">
      <c r="A45">
        <v>5</v>
      </c>
      <c r="B45">
        <v>4</v>
      </c>
      <c r="C45" t="s">
        <v>53</v>
      </c>
    </row>
    <row r="46" spans="1:3">
      <c r="A46">
        <v>5</v>
      </c>
      <c r="B46">
        <v>5</v>
      </c>
      <c r="C46" t="s">
        <v>53</v>
      </c>
    </row>
    <row r="47" spans="1:3">
      <c r="A47">
        <v>5</v>
      </c>
      <c r="B47">
        <v>6</v>
      </c>
      <c r="C47" t="s">
        <v>53</v>
      </c>
    </row>
    <row r="48" spans="1:3">
      <c r="A48">
        <v>5</v>
      </c>
      <c r="B48">
        <v>7</v>
      </c>
      <c r="C48" t="s">
        <v>53</v>
      </c>
    </row>
    <row r="49" spans="1:3">
      <c r="A49">
        <v>5</v>
      </c>
      <c r="B49">
        <v>8</v>
      </c>
      <c r="C49" t="s">
        <v>53</v>
      </c>
    </row>
    <row r="50" spans="1:3">
      <c r="A50">
        <v>5</v>
      </c>
      <c r="B50">
        <v>9</v>
      </c>
      <c r="C50" t="s">
        <v>53</v>
      </c>
    </row>
    <row r="51" spans="1:3">
      <c r="A51">
        <v>5</v>
      </c>
      <c r="B51">
        <v>10</v>
      </c>
      <c r="C51" t="s">
        <v>53</v>
      </c>
    </row>
    <row r="52" spans="1:3">
      <c r="A52">
        <v>6</v>
      </c>
      <c r="B52">
        <v>1</v>
      </c>
      <c r="C52" t="s">
        <v>52</v>
      </c>
    </row>
    <row r="53" spans="1:3">
      <c r="A53">
        <v>6</v>
      </c>
      <c r="B53">
        <v>2</v>
      </c>
      <c r="C53" t="s">
        <v>56</v>
      </c>
    </row>
    <row r="54" spans="1:3">
      <c r="A54">
        <v>6</v>
      </c>
      <c r="B54">
        <v>3</v>
      </c>
      <c r="C54" t="s">
        <v>56</v>
      </c>
    </row>
    <row r="55" spans="1:3">
      <c r="A55">
        <v>6</v>
      </c>
      <c r="B55">
        <v>4</v>
      </c>
      <c r="C55" t="s">
        <v>53</v>
      </c>
    </row>
    <row r="56" spans="1:3">
      <c r="A56">
        <v>6</v>
      </c>
      <c r="B56">
        <v>5</v>
      </c>
      <c r="C56" t="s">
        <v>53</v>
      </c>
    </row>
    <row r="57" spans="1:3">
      <c r="A57">
        <v>6</v>
      </c>
      <c r="B57">
        <v>6</v>
      </c>
      <c r="C57" t="s">
        <v>53</v>
      </c>
    </row>
    <row r="58" spans="1:3">
      <c r="A58">
        <v>6</v>
      </c>
      <c r="B58">
        <v>7</v>
      </c>
      <c r="C58" t="s">
        <v>53</v>
      </c>
    </row>
    <row r="59" spans="1:3">
      <c r="A59">
        <v>6</v>
      </c>
      <c r="B59">
        <v>8</v>
      </c>
      <c r="C59" t="s">
        <v>53</v>
      </c>
    </row>
    <row r="60" spans="1:3">
      <c r="A60">
        <v>6</v>
      </c>
      <c r="B60">
        <v>9</v>
      </c>
      <c r="C60" t="s">
        <v>53</v>
      </c>
    </row>
    <row r="61" spans="1:3">
      <c r="A61">
        <v>6</v>
      </c>
      <c r="B61">
        <v>10</v>
      </c>
      <c r="C61" t="s">
        <v>53</v>
      </c>
    </row>
    <row r="62" spans="1:3">
      <c r="A62">
        <v>7</v>
      </c>
      <c r="B62">
        <v>1</v>
      </c>
      <c r="C62" t="s">
        <v>52</v>
      </c>
    </row>
    <row r="63" spans="1:3">
      <c r="A63">
        <v>7</v>
      </c>
      <c r="B63">
        <v>2</v>
      </c>
      <c r="C63" t="s">
        <v>56</v>
      </c>
    </row>
    <row r="64" spans="1:3">
      <c r="A64">
        <v>7</v>
      </c>
      <c r="B64">
        <v>3</v>
      </c>
      <c r="C64" t="s">
        <v>56</v>
      </c>
    </row>
    <row r="65" spans="1:3">
      <c r="A65">
        <v>7</v>
      </c>
      <c r="B65">
        <v>4</v>
      </c>
      <c r="C65" t="s">
        <v>53</v>
      </c>
    </row>
    <row r="66" spans="1:3">
      <c r="A66">
        <v>7</v>
      </c>
      <c r="B66">
        <v>5</v>
      </c>
      <c r="C66" t="s">
        <v>53</v>
      </c>
    </row>
    <row r="67" spans="1:3">
      <c r="A67">
        <v>7</v>
      </c>
      <c r="B67">
        <v>6</v>
      </c>
      <c r="C67" t="s">
        <v>53</v>
      </c>
    </row>
    <row r="68" spans="1:3">
      <c r="A68">
        <v>7</v>
      </c>
      <c r="B68">
        <v>7</v>
      </c>
      <c r="C68" t="s">
        <v>53</v>
      </c>
    </row>
    <row r="69" spans="1:3">
      <c r="A69">
        <v>7</v>
      </c>
      <c r="B69">
        <v>8</v>
      </c>
      <c r="C69" t="s">
        <v>53</v>
      </c>
    </row>
    <row r="70" spans="1:3">
      <c r="A70">
        <v>7</v>
      </c>
      <c r="B70">
        <v>9</v>
      </c>
      <c r="C70" t="s">
        <v>53</v>
      </c>
    </row>
    <row r="71" spans="1:3">
      <c r="A71">
        <v>7</v>
      </c>
      <c r="B71">
        <v>10</v>
      </c>
      <c r="C71" t="s">
        <v>53</v>
      </c>
    </row>
    <row r="72" spans="1:3">
      <c r="A72">
        <v>8</v>
      </c>
      <c r="B72">
        <v>1</v>
      </c>
      <c r="C72" t="s">
        <v>52</v>
      </c>
    </row>
    <row r="73" spans="1:3">
      <c r="A73">
        <v>8</v>
      </c>
      <c r="B73">
        <v>2</v>
      </c>
      <c r="C73" t="s">
        <v>56</v>
      </c>
    </row>
    <row r="74" spans="1:3">
      <c r="A74">
        <v>8</v>
      </c>
      <c r="B74">
        <v>3</v>
      </c>
      <c r="C74" t="s">
        <v>56</v>
      </c>
    </row>
    <row r="75" spans="1:3">
      <c r="A75">
        <v>8</v>
      </c>
      <c r="B75">
        <v>4</v>
      </c>
      <c r="C75" t="s">
        <v>53</v>
      </c>
    </row>
    <row r="76" spans="1:3">
      <c r="A76">
        <v>8</v>
      </c>
      <c r="B76">
        <v>5</v>
      </c>
      <c r="C76" t="s">
        <v>53</v>
      </c>
    </row>
    <row r="77" spans="1:3">
      <c r="A77">
        <v>8</v>
      </c>
      <c r="B77">
        <v>6</v>
      </c>
      <c r="C77" t="s">
        <v>53</v>
      </c>
    </row>
    <row r="78" spans="1:3">
      <c r="A78">
        <v>8</v>
      </c>
      <c r="B78">
        <v>7</v>
      </c>
      <c r="C78" t="s">
        <v>53</v>
      </c>
    </row>
    <row r="79" spans="1:3">
      <c r="A79">
        <v>8</v>
      </c>
      <c r="B79">
        <v>8</v>
      </c>
      <c r="C79" t="s">
        <v>53</v>
      </c>
    </row>
    <row r="80" spans="1:3">
      <c r="A80">
        <v>8</v>
      </c>
      <c r="B80">
        <v>9</v>
      </c>
      <c r="C80" t="s">
        <v>53</v>
      </c>
    </row>
    <row r="81" spans="1:3">
      <c r="A81">
        <v>8</v>
      </c>
      <c r="B81">
        <v>10</v>
      </c>
      <c r="C81" t="s">
        <v>53</v>
      </c>
    </row>
    <row r="82" spans="1:3">
      <c r="A82">
        <v>9</v>
      </c>
      <c r="B82">
        <v>1</v>
      </c>
      <c r="C82" t="s">
        <v>54</v>
      </c>
    </row>
    <row r="83" spans="1:3">
      <c r="A83">
        <v>9</v>
      </c>
      <c r="B83">
        <v>2</v>
      </c>
      <c r="C83" t="s">
        <v>54</v>
      </c>
    </row>
    <row r="84" spans="1:3">
      <c r="A84">
        <v>9</v>
      </c>
      <c r="B84">
        <v>3</v>
      </c>
      <c r="C84" t="s">
        <v>54</v>
      </c>
    </row>
    <row r="85" spans="1:3">
      <c r="A85">
        <v>9</v>
      </c>
      <c r="B85">
        <v>4</v>
      </c>
      <c r="C85" t="s">
        <v>54</v>
      </c>
    </row>
    <row r="86" spans="1:3">
      <c r="A86">
        <v>9</v>
      </c>
      <c r="B86">
        <v>5</v>
      </c>
      <c r="C86" t="s">
        <v>54</v>
      </c>
    </row>
    <row r="87" spans="1:3">
      <c r="A87">
        <v>9</v>
      </c>
      <c r="B87">
        <v>6</v>
      </c>
      <c r="C87" t="s">
        <v>54</v>
      </c>
    </row>
    <row r="88" spans="1:3">
      <c r="A88">
        <v>9</v>
      </c>
      <c r="B88">
        <v>7</v>
      </c>
      <c r="C88" t="s">
        <v>54</v>
      </c>
    </row>
    <row r="89" spans="1:3">
      <c r="A89">
        <v>9</v>
      </c>
      <c r="B89">
        <v>8</v>
      </c>
      <c r="C89" t="s">
        <v>54</v>
      </c>
    </row>
    <row r="90" spans="1:3">
      <c r="A90">
        <v>9</v>
      </c>
      <c r="B90">
        <v>9</v>
      </c>
      <c r="C90" t="s">
        <v>54</v>
      </c>
    </row>
    <row r="91" spans="1:3">
      <c r="A91">
        <v>9</v>
      </c>
      <c r="B91">
        <v>10</v>
      </c>
      <c r="C91" t="s">
        <v>54</v>
      </c>
    </row>
    <row r="92" spans="1:3">
      <c r="A92">
        <v>10</v>
      </c>
      <c r="B92">
        <v>1</v>
      </c>
      <c r="C92" t="s">
        <v>54</v>
      </c>
    </row>
    <row r="93" spans="1:3">
      <c r="A93">
        <v>10</v>
      </c>
      <c r="B93">
        <v>2</v>
      </c>
      <c r="C93" t="s">
        <v>54</v>
      </c>
    </row>
    <row r="94" spans="1:3">
      <c r="A94">
        <v>10</v>
      </c>
      <c r="B94">
        <v>3</v>
      </c>
      <c r="C94" t="s">
        <v>54</v>
      </c>
    </row>
    <row r="95" spans="1:3">
      <c r="A95">
        <v>10</v>
      </c>
      <c r="B95">
        <v>4</v>
      </c>
      <c r="C95" t="s">
        <v>54</v>
      </c>
    </row>
    <row r="96" spans="1:3">
      <c r="A96">
        <v>10</v>
      </c>
      <c r="B96">
        <v>5</v>
      </c>
      <c r="C96" t="s">
        <v>54</v>
      </c>
    </row>
    <row r="97" spans="1:3">
      <c r="A97">
        <v>10</v>
      </c>
      <c r="B97">
        <v>6</v>
      </c>
      <c r="C97" t="s">
        <v>54</v>
      </c>
    </row>
    <row r="98" spans="1:3">
      <c r="A98">
        <v>10</v>
      </c>
      <c r="B98">
        <v>7</v>
      </c>
      <c r="C98" t="s">
        <v>54</v>
      </c>
    </row>
    <row r="99" spans="1:3">
      <c r="A99">
        <v>10</v>
      </c>
      <c r="B99">
        <v>8</v>
      </c>
      <c r="C99" t="s">
        <v>54</v>
      </c>
    </row>
    <row r="100" spans="1:3">
      <c r="A100">
        <v>10</v>
      </c>
      <c r="B100">
        <v>9</v>
      </c>
      <c r="C100" t="s">
        <v>54</v>
      </c>
    </row>
    <row r="101" spans="1:3">
      <c r="A101">
        <v>10</v>
      </c>
      <c r="B101">
        <v>10</v>
      </c>
      <c r="C101" t="s">
        <v>54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G430"/>
  <sheetViews>
    <sheetView workbookViewId="0">
      <pane ySplit="5" topLeftCell="A6" activePane="bottomLeft" state="frozen"/>
      <selection pane="bottomLeft" activeCell="G2" sqref="G2"/>
    </sheetView>
  </sheetViews>
  <sheetFormatPr defaultRowHeight="15.75"/>
  <cols>
    <col min="1" max="1" width="3.875" customWidth="1"/>
    <col min="2" max="2" width="14.125" customWidth="1"/>
    <col min="3" max="3" width="9" style="24"/>
    <col min="4" max="4" width="20.875" style="24" bestFit="1" customWidth="1"/>
    <col min="5" max="5" width="14.125" bestFit="1" customWidth="1"/>
    <col min="6" max="7" width="11.125" customWidth="1"/>
    <col min="8" max="8" width="14.125" customWidth="1"/>
  </cols>
  <sheetData>
    <row r="1" spans="1:7">
      <c r="E1" t="s">
        <v>22</v>
      </c>
      <c r="F1" t="s">
        <v>23</v>
      </c>
      <c r="G1" t="s">
        <v>24</v>
      </c>
    </row>
    <row r="2" spans="1:7">
      <c r="B2" t="s">
        <v>21</v>
      </c>
      <c r="C2" s="24">
        <v>1</v>
      </c>
      <c r="D2" s="24" t="str">
        <f>VLOOKUP(C2,FMEA!A5:D54,4,0)</f>
        <v>Sistema não funciona</v>
      </c>
      <c r="E2">
        <f>VLOOKUP(C2,FMEA!A5:H54,6,0)</f>
        <v>1</v>
      </c>
      <c r="F2">
        <f>VLOOKUP(C2,FMEA!A5:H54,7,0)</f>
        <v>8</v>
      </c>
      <c r="G2">
        <f>VLOOKUP(C2,FMEA!A5:H54,8,0)</f>
        <v>2</v>
      </c>
    </row>
    <row r="3" spans="1:7">
      <c r="C3" s="24" t="s">
        <v>51</v>
      </c>
    </row>
    <row r="5" spans="1:7">
      <c r="A5" t="s">
        <v>93</v>
      </c>
      <c r="B5" t="s">
        <v>94</v>
      </c>
      <c r="C5" s="24" t="s">
        <v>95</v>
      </c>
      <c r="D5" s="24" t="s">
        <v>96</v>
      </c>
      <c r="E5" t="s">
        <v>50</v>
      </c>
    </row>
    <row r="6" spans="1:7">
      <c r="A6">
        <v>1</v>
      </c>
      <c r="B6">
        <v>1</v>
      </c>
      <c r="C6">
        <v>1</v>
      </c>
      <c r="D6" s="24">
        <f>A6*B6*C6</f>
        <v>1</v>
      </c>
      <c r="E6" t="s">
        <v>52</v>
      </c>
    </row>
    <row r="7" spans="1:7">
      <c r="A7">
        <v>1</v>
      </c>
      <c r="B7">
        <v>2</v>
      </c>
      <c r="C7">
        <v>2</v>
      </c>
      <c r="D7" s="24">
        <f t="shared" ref="D7:D70" si="0">A7*B7*C7</f>
        <v>4</v>
      </c>
      <c r="E7" t="s">
        <v>52</v>
      </c>
    </row>
    <row r="8" spans="1:7">
      <c r="A8">
        <v>1</v>
      </c>
      <c r="B8">
        <v>3</v>
      </c>
      <c r="C8">
        <v>3</v>
      </c>
      <c r="D8" s="24">
        <f t="shared" si="0"/>
        <v>9</v>
      </c>
      <c r="E8" t="s">
        <v>52</v>
      </c>
    </row>
    <row r="9" spans="1:7">
      <c r="A9" s="68">
        <v>1</v>
      </c>
      <c r="B9" s="68">
        <v>7</v>
      </c>
      <c r="C9" s="68">
        <v>2</v>
      </c>
      <c r="D9" s="24">
        <f t="shared" si="0"/>
        <v>14</v>
      </c>
      <c r="E9" t="s">
        <v>52</v>
      </c>
    </row>
    <row r="10" spans="1:7">
      <c r="A10" s="68">
        <v>1</v>
      </c>
      <c r="B10" s="68">
        <v>2</v>
      </c>
      <c r="C10" s="68">
        <v>7</v>
      </c>
      <c r="D10" s="24">
        <f t="shared" si="0"/>
        <v>14</v>
      </c>
      <c r="E10" t="s">
        <v>52</v>
      </c>
    </row>
    <row r="11" spans="1:7">
      <c r="A11" s="68">
        <v>1</v>
      </c>
      <c r="B11" s="68">
        <v>5</v>
      </c>
      <c r="C11" s="68">
        <v>3</v>
      </c>
      <c r="D11" s="24">
        <f t="shared" si="0"/>
        <v>15</v>
      </c>
      <c r="E11" t="s">
        <v>52</v>
      </c>
    </row>
    <row r="12" spans="1:7">
      <c r="A12" s="68">
        <v>1</v>
      </c>
      <c r="B12" s="68">
        <v>3</v>
      </c>
      <c r="C12" s="68">
        <v>5</v>
      </c>
      <c r="D12" s="24">
        <f t="shared" si="0"/>
        <v>15</v>
      </c>
      <c r="E12" t="s">
        <v>52</v>
      </c>
    </row>
    <row r="13" spans="1:7">
      <c r="A13">
        <v>1</v>
      </c>
      <c r="B13">
        <v>4</v>
      </c>
      <c r="C13">
        <v>4</v>
      </c>
      <c r="D13" s="24">
        <f t="shared" si="0"/>
        <v>16</v>
      </c>
      <c r="E13" t="s">
        <v>52</v>
      </c>
    </row>
    <row r="14" spans="1:7">
      <c r="A14" s="68">
        <v>1</v>
      </c>
      <c r="B14" s="68">
        <v>7</v>
      </c>
      <c r="C14" s="68">
        <v>3</v>
      </c>
      <c r="D14" s="24">
        <f t="shared" si="0"/>
        <v>21</v>
      </c>
      <c r="E14" t="s">
        <v>52</v>
      </c>
    </row>
    <row r="15" spans="1:7">
      <c r="A15" s="68">
        <v>1</v>
      </c>
      <c r="B15" s="68">
        <v>3</v>
      </c>
      <c r="C15" s="68">
        <v>7</v>
      </c>
      <c r="D15" s="24">
        <f t="shared" si="0"/>
        <v>21</v>
      </c>
      <c r="E15" t="s">
        <v>52</v>
      </c>
    </row>
    <row r="16" spans="1:7">
      <c r="A16">
        <v>1</v>
      </c>
      <c r="B16">
        <v>5</v>
      </c>
      <c r="C16">
        <v>5</v>
      </c>
      <c r="D16" s="24">
        <f t="shared" si="0"/>
        <v>25</v>
      </c>
      <c r="E16" t="s">
        <v>52</v>
      </c>
    </row>
    <row r="17" spans="1:5">
      <c r="A17" s="68">
        <v>1</v>
      </c>
      <c r="B17" s="68">
        <v>10</v>
      </c>
      <c r="C17" s="68">
        <v>3</v>
      </c>
      <c r="D17" s="24">
        <f t="shared" si="0"/>
        <v>30</v>
      </c>
      <c r="E17" t="s">
        <v>52</v>
      </c>
    </row>
    <row r="18" spans="1:5">
      <c r="A18" s="68">
        <v>1</v>
      </c>
      <c r="B18" s="68">
        <v>6</v>
      </c>
      <c r="C18" s="68">
        <v>5</v>
      </c>
      <c r="D18" s="24">
        <f t="shared" si="0"/>
        <v>30</v>
      </c>
      <c r="E18" t="s">
        <v>52</v>
      </c>
    </row>
    <row r="19" spans="1:5">
      <c r="A19" s="68">
        <v>1</v>
      </c>
      <c r="B19" s="68">
        <v>5</v>
      </c>
      <c r="C19" s="68">
        <v>6</v>
      </c>
      <c r="D19" s="24">
        <f t="shared" si="0"/>
        <v>30</v>
      </c>
      <c r="E19" t="s">
        <v>52</v>
      </c>
    </row>
    <row r="20" spans="1:5">
      <c r="A20" s="68">
        <v>1</v>
      </c>
      <c r="B20" s="68">
        <v>3</v>
      </c>
      <c r="C20" s="68">
        <v>10</v>
      </c>
      <c r="D20" s="24">
        <f t="shared" si="0"/>
        <v>30</v>
      </c>
      <c r="E20" t="s">
        <v>52</v>
      </c>
    </row>
    <row r="21" spans="1:5">
      <c r="A21" s="68">
        <v>1</v>
      </c>
      <c r="B21" s="68">
        <v>7</v>
      </c>
      <c r="C21" s="68">
        <v>5</v>
      </c>
      <c r="D21" s="24">
        <f t="shared" si="0"/>
        <v>35</v>
      </c>
      <c r="E21" t="s">
        <v>52</v>
      </c>
    </row>
    <row r="22" spans="1:5">
      <c r="A22" s="68">
        <v>1</v>
      </c>
      <c r="B22" s="68">
        <v>5</v>
      </c>
      <c r="C22" s="68">
        <v>7</v>
      </c>
      <c r="D22" s="24">
        <f t="shared" si="0"/>
        <v>35</v>
      </c>
      <c r="E22" t="s">
        <v>52</v>
      </c>
    </row>
    <row r="23" spans="1:5">
      <c r="A23">
        <v>1</v>
      </c>
      <c r="B23">
        <v>6</v>
      </c>
      <c r="C23">
        <v>6</v>
      </c>
      <c r="D23" s="24">
        <f t="shared" si="0"/>
        <v>36</v>
      </c>
      <c r="E23" t="s">
        <v>52</v>
      </c>
    </row>
    <row r="24" spans="1:5">
      <c r="A24" s="68">
        <v>1</v>
      </c>
      <c r="B24" s="68">
        <v>7</v>
      </c>
      <c r="C24" s="68">
        <v>6</v>
      </c>
      <c r="D24" s="24">
        <f t="shared" si="0"/>
        <v>42</v>
      </c>
      <c r="E24" t="s">
        <v>52</v>
      </c>
    </row>
    <row r="25" spans="1:5">
      <c r="A25" s="68">
        <v>1</v>
      </c>
      <c r="B25" s="68">
        <v>6</v>
      </c>
      <c r="C25" s="68">
        <v>7</v>
      </c>
      <c r="D25" s="24">
        <f t="shared" si="0"/>
        <v>42</v>
      </c>
      <c r="E25" t="s">
        <v>52</v>
      </c>
    </row>
    <row r="26" spans="1:5">
      <c r="A26">
        <v>1</v>
      </c>
      <c r="B26">
        <v>7</v>
      </c>
      <c r="C26">
        <v>7</v>
      </c>
      <c r="D26" s="24">
        <f t="shared" si="0"/>
        <v>49</v>
      </c>
      <c r="E26" t="s">
        <v>52</v>
      </c>
    </row>
    <row r="27" spans="1:5">
      <c r="A27" s="68">
        <v>1</v>
      </c>
      <c r="B27" s="68">
        <v>8</v>
      </c>
      <c r="C27" s="68">
        <v>7</v>
      </c>
      <c r="D27" s="24">
        <f t="shared" si="0"/>
        <v>56</v>
      </c>
      <c r="E27" t="s">
        <v>52</v>
      </c>
    </row>
    <row r="28" spans="1:5">
      <c r="A28" s="68">
        <v>1</v>
      </c>
      <c r="B28" s="68">
        <v>7</v>
      </c>
      <c r="C28" s="68">
        <v>8</v>
      </c>
      <c r="D28" s="24">
        <f t="shared" si="0"/>
        <v>56</v>
      </c>
      <c r="E28" t="s">
        <v>52</v>
      </c>
    </row>
    <row r="29" spans="1:5">
      <c r="A29" s="68">
        <v>1</v>
      </c>
      <c r="B29" s="68">
        <v>10</v>
      </c>
      <c r="C29" s="68">
        <v>6</v>
      </c>
      <c r="D29" s="24">
        <f t="shared" si="0"/>
        <v>60</v>
      </c>
      <c r="E29" t="s">
        <v>52</v>
      </c>
    </row>
    <row r="30" spans="1:5">
      <c r="A30" s="68">
        <v>1</v>
      </c>
      <c r="B30" s="68">
        <v>6</v>
      </c>
      <c r="C30" s="68">
        <v>10</v>
      </c>
      <c r="D30" s="24">
        <f t="shared" si="0"/>
        <v>60</v>
      </c>
      <c r="E30" t="s">
        <v>52</v>
      </c>
    </row>
    <row r="31" spans="1:5">
      <c r="A31">
        <v>1</v>
      </c>
      <c r="B31">
        <v>8</v>
      </c>
      <c r="C31">
        <v>8</v>
      </c>
      <c r="D31" s="24">
        <f t="shared" si="0"/>
        <v>64</v>
      </c>
      <c r="E31" t="s">
        <v>52</v>
      </c>
    </row>
    <row r="32" spans="1:5">
      <c r="A32" s="68">
        <v>1</v>
      </c>
      <c r="B32" s="68">
        <v>10</v>
      </c>
      <c r="C32" s="68">
        <v>7</v>
      </c>
      <c r="D32" s="24">
        <f t="shared" si="0"/>
        <v>70</v>
      </c>
      <c r="E32" t="s">
        <v>52</v>
      </c>
    </row>
    <row r="33" spans="1:5">
      <c r="A33" s="68">
        <v>1</v>
      </c>
      <c r="B33" s="68">
        <v>7</v>
      </c>
      <c r="C33" s="68">
        <v>10</v>
      </c>
      <c r="D33" s="24">
        <f t="shared" si="0"/>
        <v>70</v>
      </c>
      <c r="E33" t="s">
        <v>52</v>
      </c>
    </row>
    <row r="34" spans="1:5">
      <c r="A34">
        <v>1</v>
      </c>
      <c r="B34">
        <v>9</v>
      </c>
      <c r="C34">
        <v>9</v>
      </c>
      <c r="D34" s="24">
        <f t="shared" si="0"/>
        <v>81</v>
      </c>
      <c r="E34" t="s">
        <v>52</v>
      </c>
    </row>
    <row r="35" spans="1:5">
      <c r="A35">
        <v>1</v>
      </c>
      <c r="B35">
        <v>10</v>
      </c>
      <c r="C35">
        <v>10</v>
      </c>
      <c r="D35" s="24">
        <f t="shared" si="0"/>
        <v>100</v>
      </c>
      <c r="E35" t="s">
        <v>52</v>
      </c>
    </row>
    <row r="36" spans="1:5">
      <c r="A36">
        <v>2</v>
      </c>
      <c r="B36">
        <v>1</v>
      </c>
      <c r="C36">
        <v>1</v>
      </c>
      <c r="D36" s="24">
        <f t="shared" si="0"/>
        <v>2</v>
      </c>
      <c r="E36" t="s">
        <v>52</v>
      </c>
    </row>
    <row r="37" spans="1:5">
      <c r="A37">
        <v>2</v>
      </c>
      <c r="B37">
        <v>2</v>
      </c>
      <c r="C37">
        <v>2</v>
      </c>
      <c r="D37" s="24">
        <f t="shared" si="0"/>
        <v>8</v>
      </c>
      <c r="E37" t="s">
        <v>52</v>
      </c>
    </row>
    <row r="38" spans="1:5">
      <c r="A38" s="68">
        <v>2</v>
      </c>
      <c r="B38" s="68">
        <v>7</v>
      </c>
      <c r="C38" s="68">
        <v>1</v>
      </c>
      <c r="D38" s="24">
        <f t="shared" si="0"/>
        <v>14</v>
      </c>
      <c r="E38" t="s">
        <v>56</v>
      </c>
    </row>
    <row r="39" spans="1:5">
      <c r="A39" s="68">
        <v>2</v>
      </c>
      <c r="B39" s="68">
        <v>1</v>
      </c>
      <c r="C39" s="68">
        <v>7</v>
      </c>
      <c r="D39" s="24">
        <f t="shared" si="0"/>
        <v>14</v>
      </c>
      <c r="E39" t="s">
        <v>52</v>
      </c>
    </row>
    <row r="40" spans="1:5">
      <c r="A40">
        <v>2</v>
      </c>
      <c r="B40">
        <v>3</v>
      </c>
      <c r="C40">
        <v>3</v>
      </c>
      <c r="D40" s="24">
        <f t="shared" si="0"/>
        <v>18</v>
      </c>
      <c r="E40" t="s">
        <v>52</v>
      </c>
    </row>
    <row r="41" spans="1:5">
      <c r="A41" s="68">
        <v>2</v>
      </c>
      <c r="B41" s="68">
        <v>5</v>
      </c>
      <c r="C41" s="68">
        <v>3</v>
      </c>
      <c r="D41" s="24">
        <f t="shared" si="0"/>
        <v>30</v>
      </c>
      <c r="E41" t="s">
        <v>56</v>
      </c>
    </row>
    <row r="42" spans="1:5">
      <c r="A42" s="68">
        <v>2</v>
      </c>
      <c r="B42" s="68">
        <v>3</v>
      </c>
      <c r="C42" s="68">
        <v>5</v>
      </c>
      <c r="D42" s="24">
        <f t="shared" si="0"/>
        <v>30</v>
      </c>
      <c r="E42" t="s">
        <v>52</v>
      </c>
    </row>
    <row r="43" spans="1:5">
      <c r="A43">
        <v>2</v>
      </c>
      <c r="B43">
        <v>4</v>
      </c>
      <c r="C43">
        <v>4</v>
      </c>
      <c r="D43" s="24">
        <f t="shared" si="0"/>
        <v>32</v>
      </c>
      <c r="E43" t="s">
        <v>52</v>
      </c>
    </row>
    <row r="44" spans="1:5">
      <c r="A44" s="68">
        <v>2</v>
      </c>
      <c r="B44" s="68">
        <v>7</v>
      </c>
      <c r="C44" s="68">
        <v>3</v>
      </c>
      <c r="D44" s="24">
        <f t="shared" si="0"/>
        <v>42</v>
      </c>
      <c r="E44" t="s">
        <v>56</v>
      </c>
    </row>
    <row r="45" spans="1:5">
      <c r="A45" s="68">
        <v>2</v>
      </c>
      <c r="B45" s="68">
        <v>3</v>
      </c>
      <c r="C45" s="68">
        <v>7</v>
      </c>
      <c r="D45" s="24">
        <f t="shared" si="0"/>
        <v>42</v>
      </c>
      <c r="E45" t="s">
        <v>52</v>
      </c>
    </row>
    <row r="46" spans="1:5">
      <c r="A46">
        <v>2</v>
      </c>
      <c r="B46">
        <v>5</v>
      </c>
      <c r="C46">
        <v>5</v>
      </c>
      <c r="D46" s="24">
        <f t="shared" si="0"/>
        <v>50</v>
      </c>
      <c r="E46" t="s">
        <v>56</v>
      </c>
    </row>
    <row r="47" spans="1:5">
      <c r="A47" s="68">
        <v>2</v>
      </c>
      <c r="B47" s="68">
        <v>7</v>
      </c>
      <c r="C47" s="68">
        <v>4</v>
      </c>
      <c r="D47" s="24">
        <f t="shared" si="0"/>
        <v>56</v>
      </c>
      <c r="E47" t="s">
        <v>56</v>
      </c>
    </row>
    <row r="48" spans="1:5">
      <c r="A48" s="68">
        <v>2</v>
      </c>
      <c r="B48" s="68">
        <v>4</v>
      </c>
      <c r="C48" s="68">
        <v>7</v>
      </c>
      <c r="D48" s="24">
        <f t="shared" si="0"/>
        <v>56</v>
      </c>
      <c r="E48" t="s">
        <v>52</v>
      </c>
    </row>
    <row r="49" spans="1:5">
      <c r="A49" s="68">
        <v>2</v>
      </c>
      <c r="B49" s="68">
        <v>10</v>
      </c>
      <c r="C49" s="68">
        <v>3</v>
      </c>
      <c r="D49" s="24">
        <f t="shared" si="0"/>
        <v>60</v>
      </c>
      <c r="E49" t="s">
        <v>56</v>
      </c>
    </row>
    <row r="50" spans="1:5">
      <c r="A50" s="68">
        <v>2</v>
      </c>
      <c r="B50" s="68">
        <v>6</v>
      </c>
      <c r="C50" s="68">
        <v>5</v>
      </c>
      <c r="D50" s="24">
        <f t="shared" si="0"/>
        <v>60</v>
      </c>
      <c r="E50" t="s">
        <v>56</v>
      </c>
    </row>
    <row r="51" spans="1:5">
      <c r="A51" s="68">
        <v>2</v>
      </c>
      <c r="B51" s="68">
        <v>5</v>
      </c>
      <c r="C51" s="68">
        <v>6</v>
      </c>
      <c r="D51" s="24">
        <f t="shared" si="0"/>
        <v>60</v>
      </c>
      <c r="E51" t="s">
        <v>56</v>
      </c>
    </row>
    <row r="52" spans="1:5">
      <c r="A52" s="68">
        <v>2</v>
      </c>
      <c r="B52" s="68">
        <v>3</v>
      </c>
      <c r="C52" s="68">
        <v>10</v>
      </c>
      <c r="D52" s="24">
        <f t="shared" si="0"/>
        <v>60</v>
      </c>
      <c r="E52" t="s">
        <v>52</v>
      </c>
    </row>
    <row r="53" spans="1:5">
      <c r="A53" s="68">
        <v>2</v>
      </c>
      <c r="B53" s="68">
        <v>7</v>
      </c>
      <c r="C53" s="68">
        <v>5</v>
      </c>
      <c r="D53" s="24">
        <f t="shared" si="0"/>
        <v>70</v>
      </c>
      <c r="E53" t="s">
        <v>56</v>
      </c>
    </row>
    <row r="54" spans="1:5">
      <c r="A54" s="68">
        <v>2</v>
      </c>
      <c r="B54" s="68">
        <v>5</v>
      </c>
      <c r="C54" s="68">
        <v>7</v>
      </c>
      <c r="D54" s="24">
        <f t="shared" si="0"/>
        <v>70</v>
      </c>
      <c r="E54" t="s">
        <v>56</v>
      </c>
    </row>
    <row r="55" spans="1:5">
      <c r="A55">
        <v>2</v>
      </c>
      <c r="B55">
        <v>6</v>
      </c>
      <c r="C55">
        <v>6</v>
      </c>
      <c r="D55" s="24">
        <f t="shared" si="0"/>
        <v>72</v>
      </c>
      <c r="E55" t="s">
        <v>56</v>
      </c>
    </row>
    <row r="56" spans="1:5">
      <c r="A56" s="68">
        <v>2</v>
      </c>
      <c r="B56" s="68">
        <v>7</v>
      </c>
      <c r="C56" s="68">
        <v>6</v>
      </c>
      <c r="D56" s="24">
        <f t="shared" si="0"/>
        <v>84</v>
      </c>
      <c r="E56" t="s">
        <v>56</v>
      </c>
    </row>
    <row r="57" spans="1:5">
      <c r="A57" s="68">
        <v>2</v>
      </c>
      <c r="B57" s="68">
        <v>6</v>
      </c>
      <c r="C57" s="68">
        <v>7</v>
      </c>
      <c r="D57" s="24">
        <f t="shared" si="0"/>
        <v>84</v>
      </c>
      <c r="E57" t="s">
        <v>56</v>
      </c>
    </row>
    <row r="58" spans="1:5">
      <c r="A58">
        <v>2</v>
      </c>
      <c r="B58">
        <v>7</v>
      </c>
      <c r="C58">
        <v>7</v>
      </c>
      <c r="D58" s="24">
        <f t="shared" si="0"/>
        <v>98</v>
      </c>
      <c r="E58" t="s">
        <v>56</v>
      </c>
    </row>
    <row r="59" spans="1:5">
      <c r="A59" s="68">
        <v>2</v>
      </c>
      <c r="B59" s="68">
        <v>10</v>
      </c>
      <c r="C59" s="68">
        <v>6</v>
      </c>
      <c r="D59" s="24">
        <f t="shared" si="0"/>
        <v>120</v>
      </c>
      <c r="E59" t="s">
        <v>56</v>
      </c>
    </row>
    <row r="60" spans="1:5">
      <c r="A60" s="68">
        <v>2</v>
      </c>
      <c r="B60" s="68">
        <v>6</v>
      </c>
      <c r="C60" s="68">
        <v>10</v>
      </c>
      <c r="D60" s="24">
        <f t="shared" si="0"/>
        <v>120</v>
      </c>
      <c r="E60" t="s">
        <v>56</v>
      </c>
    </row>
    <row r="61" spans="1:5">
      <c r="A61" s="68">
        <v>2</v>
      </c>
      <c r="B61" s="68">
        <v>9</v>
      </c>
      <c r="C61" s="68">
        <v>7</v>
      </c>
      <c r="D61" s="24">
        <f t="shared" si="0"/>
        <v>126</v>
      </c>
      <c r="E61" t="s">
        <v>56</v>
      </c>
    </row>
    <row r="62" spans="1:5">
      <c r="A62" s="68">
        <v>2</v>
      </c>
      <c r="B62" s="68">
        <v>7</v>
      </c>
      <c r="C62" s="68">
        <v>9</v>
      </c>
      <c r="D62" s="24">
        <f t="shared" si="0"/>
        <v>126</v>
      </c>
      <c r="E62" t="s">
        <v>56</v>
      </c>
    </row>
    <row r="63" spans="1:5">
      <c r="A63">
        <v>2</v>
      </c>
      <c r="B63">
        <v>8</v>
      </c>
      <c r="C63">
        <v>8</v>
      </c>
      <c r="D63" s="24">
        <f t="shared" si="0"/>
        <v>128</v>
      </c>
      <c r="E63" t="s">
        <v>56</v>
      </c>
    </row>
    <row r="64" spans="1:5">
      <c r="A64" s="68">
        <v>2</v>
      </c>
      <c r="B64" s="68">
        <v>10</v>
      </c>
      <c r="C64" s="68">
        <v>7</v>
      </c>
      <c r="D64" s="24">
        <f t="shared" si="0"/>
        <v>140</v>
      </c>
      <c r="E64" t="s">
        <v>56</v>
      </c>
    </row>
    <row r="65" spans="1:5">
      <c r="A65" s="68">
        <v>2</v>
      </c>
      <c r="B65" s="68">
        <v>7</v>
      </c>
      <c r="C65" s="68">
        <v>10</v>
      </c>
      <c r="D65" s="24">
        <f t="shared" si="0"/>
        <v>140</v>
      </c>
      <c r="E65" t="s">
        <v>56</v>
      </c>
    </row>
    <row r="66" spans="1:5">
      <c r="A66">
        <v>2</v>
      </c>
      <c r="B66">
        <v>9</v>
      </c>
      <c r="C66">
        <v>9</v>
      </c>
      <c r="D66" s="24">
        <f t="shared" si="0"/>
        <v>162</v>
      </c>
      <c r="E66" t="s">
        <v>56</v>
      </c>
    </row>
    <row r="67" spans="1:5">
      <c r="A67">
        <v>2</v>
      </c>
      <c r="B67">
        <v>10</v>
      </c>
      <c r="C67">
        <v>10</v>
      </c>
      <c r="D67" s="24">
        <f t="shared" si="0"/>
        <v>200</v>
      </c>
      <c r="E67" t="s">
        <v>56</v>
      </c>
    </row>
    <row r="68" spans="1:5">
      <c r="A68">
        <v>3</v>
      </c>
      <c r="B68">
        <v>1</v>
      </c>
      <c r="C68">
        <v>1</v>
      </c>
      <c r="D68" s="24">
        <f t="shared" si="0"/>
        <v>3</v>
      </c>
      <c r="E68" t="s">
        <v>52</v>
      </c>
    </row>
    <row r="69" spans="1:5">
      <c r="A69">
        <v>3</v>
      </c>
      <c r="B69">
        <v>2</v>
      </c>
      <c r="C69">
        <v>2</v>
      </c>
      <c r="D69" s="24">
        <f t="shared" si="0"/>
        <v>12</v>
      </c>
      <c r="E69" t="s">
        <v>52</v>
      </c>
    </row>
    <row r="70" spans="1:5">
      <c r="A70" s="68">
        <v>3</v>
      </c>
      <c r="B70" s="68">
        <v>5</v>
      </c>
      <c r="C70" s="68">
        <v>1</v>
      </c>
      <c r="D70" s="24">
        <f t="shared" si="0"/>
        <v>15</v>
      </c>
      <c r="E70" t="s">
        <v>56</v>
      </c>
    </row>
    <row r="71" spans="1:5">
      <c r="A71" s="68">
        <v>3</v>
      </c>
      <c r="B71" s="68">
        <v>1</v>
      </c>
      <c r="C71" s="68">
        <v>5</v>
      </c>
      <c r="D71" s="24">
        <f t="shared" ref="D71:D134" si="1">A71*B71*C71</f>
        <v>15</v>
      </c>
      <c r="E71" t="s">
        <v>52</v>
      </c>
    </row>
    <row r="72" spans="1:5">
      <c r="A72" s="68">
        <v>3</v>
      </c>
      <c r="B72" s="68">
        <v>7</v>
      </c>
      <c r="C72" s="68">
        <v>1</v>
      </c>
      <c r="D72" s="24">
        <f t="shared" si="1"/>
        <v>21</v>
      </c>
      <c r="E72" t="s">
        <v>56</v>
      </c>
    </row>
    <row r="73" spans="1:5">
      <c r="A73" s="68">
        <v>3</v>
      </c>
      <c r="B73" s="68">
        <v>1</v>
      </c>
      <c r="C73" s="68">
        <v>7</v>
      </c>
      <c r="D73" s="24">
        <f t="shared" si="1"/>
        <v>21</v>
      </c>
      <c r="E73" t="s">
        <v>52</v>
      </c>
    </row>
    <row r="74" spans="1:5">
      <c r="A74">
        <v>3</v>
      </c>
      <c r="B74">
        <v>3</v>
      </c>
      <c r="C74">
        <v>3</v>
      </c>
      <c r="D74" s="24">
        <f t="shared" si="1"/>
        <v>27</v>
      </c>
      <c r="E74" t="s">
        <v>52</v>
      </c>
    </row>
    <row r="75" spans="1:5">
      <c r="A75" s="68">
        <v>3</v>
      </c>
      <c r="B75" s="68">
        <v>10</v>
      </c>
      <c r="C75" s="68">
        <v>1</v>
      </c>
      <c r="D75" s="24">
        <f t="shared" si="1"/>
        <v>30</v>
      </c>
      <c r="E75" t="s">
        <v>53</v>
      </c>
    </row>
    <row r="76" spans="1:5">
      <c r="A76" s="68">
        <v>3</v>
      </c>
      <c r="B76" s="68">
        <v>5</v>
      </c>
      <c r="C76" s="68">
        <v>2</v>
      </c>
      <c r="D76" s="24">
        <f t="shared" si="1"/>
        <v>30</v>
      </c>
      <c r="E76" t="s">
        <v>56</v>
      </c>
    </row>
    <row r="77" spans="1:5">
      <c r="A77" s="68">
        <v>3</v>
      </c>
      <c r="B77" s="68">
        <v>2</v>
      </c>
      <c r="C77" s="68">
        <v>5</v>
      </c>
      <c r="D77" s="24">
        <f t="shared" si="1"/>
        <v>30</v>
      </c>
      <c r="E77" t="s">
        <v>52</v>
      </c>
    </row>
    <row r="78" spans="1:5">
      <c r="A78" s="68">
        <v>3</v>
      </c>
      <c r="B78" s="68">
        <v>1</v>
      </c>
      <c r="C78" s="68">
        <v>10</v>
      </c>
      <c r="D78" s="24">
        <f t="shared" si="1"/>
        <v>30</v>
      </c>
      <c r="E78" t="s">
        <v>52</v>
      </c>
    </row>
    <row r="79" spans="1:5">
      <c r="A79" s="68">
        <v>3</v>
      </c>
      <c r="B79" s="68">
        <v>7</v>
      </c>
      <c r="C79" s="68">
        <v>2</v>
      </c>
      <c r="D79" s="24">
        <f t="shared" si="1"/>
        <v>42</v>
      </c>
      <c r="E79" t="s">
        <v>56</v>
      </c>
    </row>
    <row r="80" spans="1:5">
      <c r="A80" s="68">
        <v>3</v>
      </c>
      <c r="B80" s="68">
        <v>2</v>
      </c>
      <c r="C80" s="68">
        <v>7</v>
      </c>
      <c r="D80" s="24">
        <f t="shared" si="1"/>
        <v>42</v>
      </c>
      <c r="E80" t="s">
        <v>52</v>
      </c>
    </row>
    <row r="81" spans="1:5">
      <c r="A81">
        <v>3</v>
      </c>
      <c r="B81">
        <v>4</v>
      </c>
      <c r="C81">
        <v>4</v>
      </c>
      <c r="D81" s="24">
        <f t="shared" si="1"/>
        <v>48</v>
      </c>
      <c r="E81" t="s">
        <v>56</v>
      </c>
    </row>
    <row r="82" spans="1:5">
      <c r="A82" s="68">
        <v>3</v>
      </c>
      <c r="B82" s="68">
        <v>10</v>
      </c>
      <c r="C82" s="68">
        <v>2</v>
      </c>
      <c r="D82" s="24">
        <f t="shared" si="1"/>
        <v>60</v>
      </c>
      <c r="E82" t="s">
        <v>53</v>
      </c>
    </row>
    <row r="83" spans="1:5">
      <c r="A83" s="68">
        <v>3</v>
      </c>
      <c r="B83" s="68">
        <v>5</v>
      </c>
      <c r="C83" s="68">
        <v>4</v>
      </c>
      <c r="D83" s="24">
        <f t="shared" si="1"/>
        <v>60</v>
      </c>
      <c r="E83" t="s">
        <v>56</v>
      </c>
    </row>
    <row r="84" spans="1:5">
      <c r="A84" s="68">
        <v>3</v>
      </c>
      <c r="B84" s="68">
        <v>4</v>
      </c>
      <c r="C84" s="68">
        <v>5</v>
      </c>
      <c r="D84" s="24">
        <f t="shared" si="1"/>
        <v>60</v>
      </c>
      <c r="E84" t="s">
        <v>56</v>
      </c>
    </row>
    <row r="85" spans="1:5">
      <c r="A85" s="68">
        <v>3</v>
      </c>
      <c r="B85" s="68">
        <v>2</v>
      </c>
      <c r="C85" s="68">
        <v>10</v>
      </c>
      <c r="D85" s="24">
        <f t="shared" si="1"/>
        <v>60</v>
      </c>
      <c r="E85" t="s">
        <v>52</v>
      </c>
    </row>
    <row r="86" spans="1:5">
      <c r="A86">
        <v>3</v>
      </c>
      <c r="B86">
        <v>5</v>
      </c>
      <c r="C86">
        <v>5</v>
      </c>
      <c r="D86" s="24">
        <f t="shared" si="1"/>
        <v>75</v>
      </c>
      <c r="E86" t="s">
        <v>56</v>
      </c>
    </row>
    <row r="87" spans="1:5">
      <c r="A87" s="68">
        <v>3</v>
      </c>
      <c r="B87" s="68">
        <v>7</v>
      </c>
      <c r="C87" s="68">
        <v>4</v>
      </c>
      <c r="D87" s="24">
        <f t="shared" si="1"/>
        <v>84</v>
      </c>
      <c r="E87" t="s">
        <v>56</v>
      </c>
    </row>
    <row r="88" spans="1:5">
      <c r="A88" s="68">
        <v>3</v>
      </c>
      <c r="B88" s="68">
        <v>4</v>
      </c>
      <c r="C88" s="68">
        <v>7</v>
      </c>
      <c r="D88" s="24">
        <f t="shared" si="1"/>
        <v>84</v>
      </c>
      <c r="E88" t="s">
        <v>56</v>
      </c>
    </row>
    <row r="89" spans="1:5">
      <c r="A89" s="68">
        <v>3</v>
      </c>
      <c r="B89" s="68">
        <v>7</v>
      </c>
      <c r="C89" s="68">
        <v>5</v>
      </c>
      <c r="D89" s="24">
        <f t="shared" si="1"/>
        <v>105</v>
      </c>
      <c r="E89" t="s">
        <v>56</v>
      </c>
    </row>
    <row r="90" spans="1:5">
      <c r="A90" s="68">
        <v>3</v>
      </c>
      <c r="B90" s="68">
        <v>5</v>
      </c>
      <c r="C90" s="68">
        <v>7</v>
      </c>
      <c r="D90" s="24">
        <f t="shared" si="1"/>
        <v>105</v>
      </c>
      <c r="E90" t="s">
        <v>56</v>
      </c>
    </row>
    <row r="91" spans="1:5">
      <c r="A91">
        <v>3</v>
      </c>
      <c r="B91">
        <v>6</v>
      </c>
      <c r="C91">
        <v>6</v>
      </c>
      <c r="D91" s="24">
        <f t="shared" si="1"/>
        <v>108</v>
      </c>
      <c r="E91" t="s">
        <v>56</v>
      </c>
    </row>
    <row r="92" spans="1:5">
      <c r="A92" s="68">
        <v>3</v>
      </c>
      <c r="B92" s="68">
        <v>10</v>
      </c>
      <c r="C92" s="68">
        <v>4</v>
      </c>
      <c r="D92" s="24">
        <f t="shared" si="1"/>
        <v>120</v>
      </c>
      <c r="E92" t="s">
        <v>53</v>
      </c>
    </row>
    <row r="93" spans="1:5">
      <c r="A93" s="68">
        <v>3</v>
      </c>
      <c r="B93" s="68">
        <v>8</v>
      </c>
      <c r="C93" s="68">
        <v>5</v>
      </c>
      <c r="D93" s="24">
        <f t="shared" si="1"/>
        <v>120</v>
      </c>
      <c r="E93" t="s">
        <v>56</v>
      </c>
    </row>
    <row r="94" spans="1:5">
      <c r="A94" s="68">
        <v>3</v>
      </c>
      <c r="B94" s="68">
        <v>5</v>
      </c>
      <c r="C94" s="68">
        <v>8</v>
      </c>
      <c r="D94" s="24">
        <f t="shared" si="1"/>
        <v>120</v>
      </c>
      <c r="E94" t="s">
        <v>56</v>
      </c>
    </row>
    <row r="95" spans="1:5">
      <c r="A95" s="68">
        <v>3</v>
      </c>
      <c r="B95" s="68">
        <v>4</v>
      </c>
      <c r="C95" s="68">
        <v>10</v>
      </c>
      <c r="D95" s="24">
        <f t="shared" si="1"/>
        <v>120</v>
      </c>
      <c r="E95" t="s">
        <v>56</v>
      </c>
    </row>
    <row r="96" spans="1:5">
      <c r="A96" s="68">
        <v>3</v>
      </c>
      <c r="B96" s="68">
        <v>7</v>
      </c>
      <c r="C96" s="68">
        <v>6</v>
      </c>
      <c r="D96" s="24">
        <f t="shared" si="1"/>
        <v>126</v>
      </c>
      <c r="E96" t="s">
        <v>56</v>
      </c>
    </row>
    <row r="97" spans="1:5">
      <c r="A97" s="68">
        <v>3</v>
      </c>
      <c r="B97" s="68">
        <v>6</v>
      </c>
      <c r="C97" s="68">
        <v>7</v>
      </c>
      <c r="D97" s="24">
        <f t="shared" si="1"/>
        <v>126</v>
      </c>
      <c r="E97" t="s">
        <v>56</v>
      </c>
    </row>
    <row r="98" spans="1:5">
      <c r="A98" s="68">
        <v>3</v>
      </c>
      <c r="B98" s="68">
        <v>9</v>
      </c>
      <c r="C98" s="68">
        <v>5</v>
      </c>
      <c r="D98" s="24">
        <f t="shared" si="1"/>
        <v>135</v>
      </c>
      <c r="E98" t="s">
        <v>53</v>
      </c>
    </row>
    <row r="99" spans="1:5">
      <c r="A99" s="68">
        <v>3</v>
      </c>
      <c r="B99" s="68">
        <v>5</v>
      </c>
      <c r="C99" s="68">
        <v>9</v>
      </c>
      <c r="D99" s="24">
        <f t="shared" si="1"/>
        <v>135</v>
      </c>
      <c r="E99" t="s">
        <v>56</v>
      </c>
    </row>
    <row r="100" spans="1:5">
      <c r="A100">
        <v>3</v>
      </c>
      <c r="B100">
        <v>7</v>
      </c>
      <c r="C100">
        <v>7</v>
      </c>
      <c r="D100" s="24">
        <f t="shared" si="1"/>
        <v>147</v>
      </c>
      <c r="E100" t="s">
        <v>56</v>
      </c>
    </row>
    <row r="101" spans="1:5">
      <c r="A101" s="68">
        <v>3</v>
      </c>
      <c r="B101" s="68">
        <v>8</v>
      </c>
      <c r="C101" s="68">
        <v>7</v>
      </c>
      <c r="D101" s="24">
        <f t="shared" si="1"/>
        <v>168</v>
      </c>
      <c r="E101" t="s">
        <v>56</v>
      </c>
    </row>
    <row r="102" spans="1:5">
      <c r="A102" s="68">
        <v>3</v>
      </c>
      <c r="B102" s="68">
        <v>7</v>
      </c>
      <c r="C102" s="68">
        <v>8</v>
      </c>
      <c r="D102" s="24">
        <f t="shared" si="1"/>
        <v>168</v>
      </c>
      <c r="E102" t="s">
        <v>56</v>
      </c>
    </row>
    <row r="103" spans="1:5">
      <c r="A103" s="68">
        <v>3</v>
      </c>
      <c r="B103" s="68">
        <v>9</v>
      </c>
      <c r="C103" s="68">
        <v>7</v>
      </c>
      <c r="D103" s="24">
        <f t="shared" si="1"/>
        <v>189</v>
      </c>
      <c r="E103" t="s">
        <v>53</v>
      </c>
    </row>
    <row r="104" spans="1:5">
      <c r="A104" s="68">
        <v>3</v>
      </c>
      <c r="B104" s="68">
        <v>7</v>
      </c>
      <c r="C104" s="68">
        <v>9</v>
      </c>
      <c r="D104" s="24">
        <f t="shared" si="1"/>
        <v>189</v>
      </c>
      <c r="E104" t="s">
        <v>56</v>
      </c>
    </row>
    <row r="105" spans="1:5">
      <c r="A105">
        <v>3</v>
      </c>
      <c r="B105">
        <v>8</v>
      </c>
      <c r="C105">
        <v>8</v>
      </c>
      <c r="D105" s="24">
        <f t="shared" si="1"/>
        <v>192</v>
      </c>
      <c r="E105" t="s">
        <v>56</v>
      </c>
    </row>
    <row r="106" spans="1:5">
      <c r="A106" s="68">
        <v>3</v>
      </c>
      <c r="B106" s="68">
        <v>10</v>
      </c>
      <c r="C106" s="68">
        <v>7</v>
      </c>
      <c r="D106" s="24">
        <f t="shared" si="1"/>
        <v>210</v>
      </c>
      <c r="E106" t="s">
        <v>53</v>
      </c>
    </row>
    <row r="107" spans="1:5">
      <c r="A107" s="68">
        <v>3</v>
      </c>
      <c r="B107" s="68">
        <v>7</v>
      </c>
      <c r="C107" s="68">
        <v>10</v>
      </c>
      <c r="D107" s="24">
        <f t="shared" si="1"/>
        <v>210</v>
      </c>
      <c r="E107" t="s">
        <v>56</v>
      </c>
    </row>
    <row r="108" spans="1:5">
      <c r="A108" s="68">
        <v>3</v>
      </c>
      <c r="B108" s="68">
        <v>10</v>
      </c>
      <c r="C108" s="68">
        <v>8</v>
      </c>
      <c r="D108" s="24">
        <f t="shared" si="1"/>
        <v>240</v>
      </c>
      <c r="E108" t="s">
        <v>53</v>
      </c>
    </row>
    <row r="109" spans="1:5">
      <c r="A109" s="68">
        <v>3</v>
      </c>
      <c r="B109" s="68">
        <v>8</v>
      </c>
      <c r="C109" s="68">
        <v>10</v>
      </c>
      <c r="D109" s="24">
        <f t="shared" si="1"/>
        <v>240</v>
      </c>
      <c r="E109" t="s">
        <v>56</v>
      </c>
    </row>
    <row r="110" spans="1:5">
      <c r="A110">
        <v>3</v>
      </c>
      <c r="B110">
        <v>9</v>
      </c>
      <c r="C110">
        <v>9</v>
      </c>
      <c r="D110" s="24">
        <f t="shared" si="1"/>
        <v>243</v>
      </c>
      <c r="E110" t="s">
        <v>53</v>
      </c>
    </row>
    <row r="111" spans="1:5">
      <c r="A111" s="68">
        <v>3</v>
      </c>
      <c r="B111" s="68">
        <v>10</v>
      </c>
      <c r="C111" s="68">
        <v>9</v>
      </c>
      <c r="D111" s="24">
        <f t="shared" si="1"/>
        <v>270</v>
      </c>
      <c r="E111" t="s">
        <v>53</v>
      </c>
    </row>
    <row r="112" spans="1:5">
      <c r="A112" s="68">
        <v>3</v>
      </c>
      <c r="B112" s="68">
        <v>9</v>
      </c>
      <c r="C112" s="68">
        <v>10</v>
      </c>
      <c r="D112" s="24">
        <f t="shared" si="1"/>
        <v>270</v>
      </c>
      <c r="E112" t="s">
        <v>53</v>
      </c>
    </row>
    <row r="113" spans="1:5">
      <c r="A113">
        <v>3</v>
      </c>
      <c r="B113">
        <v>10</v>
      </c>
      <c r="C113">
        <v>10</v>
      </c>
      <c r="D113" s="24">
        <f t="shared" si="1"/>
        <v>300</v>
      </c>
      <c r="E113" t="s">
        <v>53</v>
      </c>
    </row>
    <row r="114" spans="1:5">
      <c r="A114">
        <v>4</v>
      </c>
      <c r="B114">
        <v>1</v>
      </c>
      <c r="C114">
        <v>1</v>
      </c>
      <c r="D114" s="24">
        <f t="shared" si="1"/>
        <v>4</v>
      </c>
      <c r="E114" t="s">
        <v>52</v>
      </c>
    </row>
    <row r="115" spans="1:5">
      <c r="A115">
        <v>4</v>
      </c>
      <c r="B115">
        <v>2</v>
      </c>
      <c r="C115">
        <v>2</v>
      </c>
      <c r="D115" s="24">
        <f t="shared" si="1"/>
        <v>16</v>
      </c>
      <c r="E115" t="s">
        <v>52</v>
      </c>
    </row>
    <row r="116" spans="1:5">
      <c r="A116">
        <v>4</v>
      </c>
      <c r="B116">
        <v>3</v>
      </c>
      <c r="C116">
        <v>3</v>
      </c>
      <c r="D116" s="24">
        <f t="shared" si="1"/>
        <v>36</v>
      </c>
      <c r="E116" t="s">
        <v>56</v>
      </c>
    </row>
    <row r="117" spans="1:5">
      <c r="A117" s="68">
        <v>4</v>
      </c>
      <c r="B117" s="68">
        <v>7</v>
      </c>
      <c r="C117" s="68">
        <v>2</v>
      </c>
      <c r="D117" s="24">
        <f t="shared" si="1"/>
        <v>56</v>
      </c>
      <c r="E117" t="s">
        <v>53</v>
      </c>
    </row>
    <row r="118" spans="1:5">
      <c r="A118" s="68">
        <v>4</v>
      </c>
      <c r="B118" s="68">
        <v>2</v>
      </c>
      <c r="C118" s="68">
        <v>7</v>
      </c>
      <c r="D118" s="24">
        <f t="shared" si="1"/>
        <v>56</v>
      </c>
      <c r="E118" t="s">
        <v>52</v>
      </c>
    </row>
    <row r="119" spans="1:5">
      <c r="A119" s="68">
        <v>4</v>
      </c>
      <c r="B119" s="68">
        <v>5</v>
      </c>
      <c r="C119" s="68">
        <v>3</v>
      </c>
      <c r="D119" s="24">
        <f t="shared" si="1"/>
        <v>60</v>
      </c>
      <c r="E119" t="s">
        <v>56</v>
      </c>
    </row>
    <row r="120" spans="1:5">
      <c r="A120" s="68">
        <v>4</v>
      </c>
      <c r="B120" s="68">
        <v>3</v>
      </c>
      <c r="C120" s="68">
        <v>5</v>
      </c>
      <c r="D120" s="24">
        <f t="shared" si="1"/>
        <v>60</v>
      </c>
      <c r="E120" t="s">
        <v>56</v>
      </c>
    </row>
    <row r="121" spans="1:5">
      <c r="A121">
        <v>4</v>
      </c>
      <c r="B121">
        <v>4</v>
      </c>
      <c r="C121">
        <v>4</v>
      </c>
      <c r="D121" s="24">
        <f t="shared" si="1"/>
        <v>64</v>
      </c>
      <c r="E121" t="s">
        <v>56</v>
      </c>
    </row>
    <row r="122" spans="1:5">
      <c r="A122" s="68">
        <v>4</v>
      </c>
      <c r="B122" s="68">
        <v>7</v>
      </c>
      <c r="C122" s="68">
        <v>3</v>
      </c>
      <c r="D122" s="24">
        <f t="shared" si="1"/>
        <v>84</v>
      </c>
      <c r="E122" t="s">
        <v>53</v>
      </c>
    </row>
    <row r="123" spans="1:5">
      <c r="A123" s="68">
        <v>4</v>
      </c>
      <c r="B123" s="68">
        <v>3</v>
      </c>
      <c r="C123" s="68">
        <v>7</v>
      </c>
      <c r="D123" s="24">
        <f t="shared" si="1"/>
        <v>84</v>
      </c>
      <c r="E123" t="s">
        <v>56</v>
      </c>
    </row>
    <row r="124" spans="1:5">
      <c r="A124">
        <v>4</v>
      </c>
      <c r="B124">
        <v>5</v>
      </c>
      <c r="C124">
        <v>5</v>
      </c>
      <c r="D124" s="24">
        <f t="shared" si="1"/>
        <v>100</v>
      </c>
      <c r="E124" t="s">
        <v>56</v>
      </c>
    </row>
    <row r="125" spans="1:5">
      <c r="A125" s="68">
        <v>4</v>
      </c>
      <c r="B125" s="68">
        <v>10</v>
      </c>
      <c r="C125" s="68">
        <v>3</v>
      </c>
      <c r="D125" s="24">
        <f t="shared" si="1"/>
        <v>120</v>
      </c>
      <c r="E125" t="s">
        <v>53</v>
      </c>
    </row>
    <row r="126" spans="1:5">
      <c r="A126" s="68">
        <v>4</v>
      </c>
      <c r="B126" s="68">
        <v>6</v>
      </c>
      <c r="C126" s="68">
        <v>5</v>
      </c>
      <c r="D126" s="24">
        <f t="shared" si="1"/>
        <v>120</v>
      </c>
      <c r="E126" t="s">
        <v>56</v>
      </c>
    </row>
    <row r="127" spans="1:5">
      <c r="A127" s="68">
        <v>4</v>
      </c>
      <c r="B127" s="68">
        <v>5</v>
      </c>
      <c r="C127" s="68">
        <v>6</v>
      </c>
      <c r="D127" s="24">
        <f t="shared" si="1"/>
        <v>120</v>
      </c>
      <c r="E127" t="s">
        <v>56</v>
      </c>
    </row>
    <row r="128" spans="1:5">
      <c r="A128" s="68">
        <v>4</v>
      </c>
      <c r="B128" s="68">
        <v>3</v>
      </c>
      <c r="C128" s="68">
        <v>10</v>
      </c>
      <c r="D128" s="24">
        <f t="shared" si="1"/>
        <v>120</v>
      </c>
      <c r="E128" t="s">
        <v>56</v>
      </c>
    </row>
    <row r="129" spans="1:5">
      <c r="A129" s="68">
        <v>4</v>
      </c>
      <c r="B129" s="68">
        <v>7</v>
      </c>
      <c r="C129" s="68">
        <v>5</v>
      </c>
      <c r="D129" s="24">
        <f t="shared" si="1"/>
        <v>140</v>
      </c>
      <c r="E129" t="s">
        <v>53</v>
      </c>
    </row>
    <row r="130" spans="1:5">
      <c r="A130" s="68">
        <v>4</v>
      </c>
      <c r="B130" s="68">
        <v>5</v>
      </c>
      <c r="C130" s="68">
        <v>7</v>
      </c>
      <c r="D130" s="24">
        <f t="shared" si="1"/>
        <v>140</v>
      </c>
      <c r="E130" t="s">
        <v>56</v>
      </c>
    </row>
    <row r="131" spans="1:5">
      <c r="A131">
        <v>4</v>
      </c>
      <c r="B131">
        <v>6</v>
      </c>
      <c r="C131">
        <v>6</v>
      </c>
      <c r="D131" s="24">
        <f t="shared" si="1"/>
        <v>144</v>
      </c>
      <c r="E131" t="s">
        <v>56</v>
      </c>
    </row>
    <row r="132" spans="1:5">
      <c r="A132" s="68">
        <v>4</v>
      </c>
      <c r="B132" s="68">
        <v>7</v>
      </c>
      <c r="C132" s="68">
        <v>6</v>
      </c>
      <c r="D132" s="24">
        <f t="shared" si="1"/>
        <v>168</v>
      </c>
      <c r="E132" t="s">
        <v>53</v>
      </c>
    </row>
    <row r="133" spans="1:5">
      <c r="A133" s="68">
        <v>4</v>
      </c>
      <c r="B133" s="68">
        <v>6</v>
      </c>
      <c r="C133" s="68">
        <v>7</v>
      </c>
      <c r="D133" s="24">
        <f t="shared" si="1"/>
        <v>168</v>
      </c>
      <c r="E133" t="s">
        <v>56</v>
      </c>
    </row>
    <row r="134" spans="1:5">
      <c r="A134">
        <v>4</v>
      </c>
      <c r="B134">
        <v>7</v>
      </c>
      <c r="C134">
        <v>7</v>
      </c>
      <c r="D134" s="24">
        <f t="shared" si="1"/>
        <v>196</v>
      </c>
      <c r="E134" t="s">
        <v>53</v>
      </c>
    </row>
    <row r="135" spans="1:5">
      <c r="A135" s="68">
        <v>4</v>
      </c>
      <c r="B135" s="68">
        <v>8</v>
      </c>
      <c r="C135" s="68">
        <v>7</v>
      </c>
      <c r="D135" s="24">
        <f t="shared" ref="D135:D198" si="2">A135*B135*C135</f>
        <v>224</v>
      </c>
      <c r="E135" t="s">
        <v>53</v>
      </c>
    </row>
    <row r="136" spans="1:5">
      <c r="A136" s="68">
        <v>4</v>
      </c>
      <c r="B136" s="68">
        <v>7</v>
      </c>
      <c r="C136" s="68">
        <v>8</v>
      </c>
      <c r="D136" s="24">
        <f t="shared" si="2"/>
        <v>224</v>
      </c>
      <c r="E136" t="s">
        <v>53</v>
      </c>
    </row>
    <row r="137" spans="1:5">
      <c r="A137" s="68">
        <v>4</v>
      </c>
      <c r="B137" s="68">
        <v>10</v>
      </c>
      <c r="C137" s="68">
        <v>6</v>
      </c>
      <c r="D137" s="24">
        <f t="shared" si="2"/>
        <v>240</v>
      </c>
      <c r="E137" t="s">
        <v>53</v>
      </c>
    </row>
    <row r="138" spans="1:5">
      <c r="A138" s="68">
        <v>4</v>
      </c>
      <c r="B138" s="68">
        <v>6</v>
      </c>
      <c r="C138" s="68">
        <v>10</v>
      </c>
      <c r="D138" s="24">
        <f t="shared" si="2"/>
        <v>240</v>
      </c>
      <c r="E138" t="s">
        <v>56</v>
      </c>
    </row>
    <row r="139" spans="1:5">
      <c r="A139">
        <v>4</v>
      </c>
      <c r="B139">
        <v>8</v>
      </c>
      <c r="C139">
        <v>8</v>
      </c>
      <c r="D139" s="24">
        <f t="shared" si="2"/>
        <v>256</v>
      </c>
      <c r="E139" t="s">
        <v>53</v>
      </c>
    </row>
    <row r="140" spans="1:5">
      <c r="A140" s="68">
        <v>4</v>
      </c>
      <c r="B140" s="68">
        <v>10</v>
      </c>
      <c r="C140" s="68">
        <v>7</v>
      </c>
      <c r="D140" s="24">
        <f t="shared" si="2"/>
        <v>280</v>
      </c>
      <c r="E140" t="s">
        <v>53</v>
      </c>
    </row>
    <row r="141" spans="1:5">
      <c r="A141" s="68">
        <v>4</v>
      </c>
      <c r="B141" s="68">
        <v>7</v>
      </c>
      <c r="C141" s="68">
        <v>10</v>
      </c>
      <c r="D141" s="24">
        <f t="shared" si="2"/>
        <v>280</v>
      </c>
      <c r="E141" t="s">
        <v>53</v>
      </c>
    </row>
    <row r="142" spans="1:5">
      <c r="A142">
        <v>4</v>
      </c>
      <c r="B142">
        <v>9</v>
      </c>
      <c r="C142">
        <v>9</v>
      </c>
      <c r="D142" s="24">
        <f t="shared" si="2"/>
        <v>324</v>
      </c>
      <c r="E142" t="s">
        <v>53</v>
      </c>
    </row>
    <row r="143" spans="1:5">
      <c r="A143">
        <v>4</v>
      </c>
      <c r="B143">
        <v>10</v>
      </c>
      <c r="C143">
        <v>10</v>
      </c>
      <c r="D143" s="24">
        <f t="shared" si="2"/>
        <v>400</v>
      </c>
      <c r="E143" t="s">
        <v>53</v>
      </c>
    </row>
    <row r="144" spans="1:5">
      <c r="A144">
        <v>5</v>
      </c>
      <c r="B144">
        <v>1</v>
      </c>
      <c r="C144">
        <v>1</v>
      </c>
      <c r="D144" s="24">
        <f t="shared" si="2"/>
        <v>5</v>
      </c>
      <c r="E144" t="s">
        <v>52</v>
      </c>
    </row>
    <row r="145" spans="1:5">
      <c r="A145" s="68">
        <v>5</v>
      </c>
      <c r="B145" s="68">
        <v>3</v>
      </c>
      <c r="C145" s="68">
        <v>1</v>
      </c>
      <c r="D145" s="24">
        <f t="shared" si="2"/>
        <v>15</v>
      </c>
      <c r="E145" t="s">
        <v>56</v>
      </c>
    </row>
    <row r="146" spans="1:5">
      <c r="A146" s="68">
        <v>5</v>
      </c>
      <c r="B146" s="68">
        <v>1</v>
      </c>
      <c r="C146" s="68">
        <v>3</v>
      </c>
      <c r="D146" s="24">
        <f t="shared" si="2"/>
        <v>15</v>
      </c>
      <c r="E146" t="s">
        <v>52</v>
      </c>
    </row>
    <row r="147" spans="1:5">
      <c r="A147">
        <v>5</v>
      </c>
      <c r="B147">
        <v>2</v>
      </c>
      <c r="C147">
        <v>2</v>
      </c>
      <c r="D147" s="24">
        <f t="shared" si="2"/>
        <v>20</v>
      </c>
      <c r="E147" t="s">
        <v>56</v>
      </c>
    </row>
    <row r="148" spans="1:5">
      <c r="A148" s="68">
        <v>5</v>
      </c>
      <c r="B148" s="68">
        <v>6</v>
      </c>
      <c r="C148" s="68">
        <v>1</v>
      </c>
      <c r="D148" s="24">
        <f t="shared" si="2"/>
        <v>30</v>
      </c>
      <c r="E148" t="s">
        <v>53</v>
      </c>
    </row>
    <row r="149" spans="1:5">
      <c r="A149" s="68">
        <v>5</v>
      </c>
      <c r="B149" s="68">
        <v>3</v>
      </c>
      <c r="C149" s="68">
        <v>2</v>
      </c>
      <c r="D149" s="24">
        <f t="shared" si="2"/>
        <v>30</v>
      </c>
      <c r="E149" t="s">
        <v>56</v>
      </c>
    </row>
    <row r="150" spans="1:5">
      <c r="A150" s="68">
        <v>5</v>
      </c>
      <c r="B150" s="68">
        <v>2</v>
      </c>
      <c r="C150" s="68">
        <v>3</v>
      </c>
      <c r="D150" s="24">
        <f t="shared" si="2"/>
        <v>30</v>
      </c>
      <c r="E150" t="s">
        <v>56</v>
      </c>
    </row>
    <row r="151" spans="1:5">
      <c r="A151" s="68">
        <v>5</v>
      </c>
      <c r="B151" s="68">
        <v>1</v>
      </c>
      <c r="C151" s="68">
        <v>6</v>
      </c>
      <c r="D151" s="24">
        <f t="shared" si="2"/>
        <v>30</v>
      </c>
      <c r="E151" t="s">
        <v>52</v>
      </c>
    </row>
    <row r="152" spans="1:5">
      <c r="A152" s="68">
        <v>5</v>
      </c>
      <c r="B152" s="68">
        <v>7</v>
      </c>
      <c r="C152" s="68">
        <v>1</v>
      </c>
      <c r="D152" s="24">
        <f t="shared" si="2"/>
        <v>35</v>
      </c>
      <c r="E152" t="s">
        <v>53</v>
      </c>
    </row>
    <row r="153" spans="1:5">
      <c r="A153" s="68">
        <v>5</v>
      </c>
      <c r="B153" s="68">
        <v>1</v>
      </c>
      <c r="C153" s="68">
        <v>7</v>
      </c>
      <c r="D153" s="24">
        <f t="shared" si="2"/>
        <v>35</v>
      </c>
      <c r="E153" t="s">
        <v>52</v>
      </c>
    </row>
    <row r="154" spans="1:5">
      <c r="A154">
        <v>5</v>
      </c>
      <c r="B154">
        <v>3</v>
      </c>
      <c r="C154">
        <v>3</v>
      </c>
      <c r="D154" s="24">
        <f t="shared" si="2"/>
        <v>45</v>
      </c>
      <c r="E154" t="s">
        <v>56</v>
      </c>
    </row>
    <row r="155" spans="1:5">
      <c r="A155" s="68">
        <v>5</v>
      </c>
      <c r="B155" s="68">
        <v>6</v>
      </c>
      <c r="C155" s="68">
        <v>2</v>
      </c>
      <c r="D155" s="24">
        <f t="shared" si="2"/>
        <v>60</v>
      </c>
      <c r="E155" t="s">
        <v>53</v>
      </c>
    </row>
    <row r="156" spans="1:5">
      <c r="A156" s="68">
        <v>5</v>
      </c>
      <c r="B156" s="68">
        <v>4</v>
      </c>
      <c r="C156" s="68">
        <v>3</v>
      </c>
      <c r="D156" s="24">
        <f t="shared" si="2"/>
        <v>60</v>
      </c>
      <c r="E156" t="s">
        <v>53</v>
      </c>
    </row>
    <row r="157" spans="1:5">
      <c r="A157" s="68">
        <v>5</v>
      </c>
      <c r="B157" s="68">
        <v>3</v>
      </c>
      <c r="C157" s="68">
        <v>4</v>
      </c>
      <c r="D157" s="24">
        <f t="shared" si="2"/>
        <v>60</v>
      </c>
      <c r="E157" t="s">
        <v>56</v>
      </c>
    </row>
    <row r="158" spans="1:5">
      <c r="A158" s="68">
        <v>5</v>
      </c>
      <c r="B158" s="68">
        <v>2</v>
      </c>
      <c r="C158" s="68">
        <v>6</v>
      </c>
      <c r="D158" s="24">
        <f t="shared" si="2"/>
        <v>60</v>
      </c>
      <c r="E158" t="s">
        <v>56</v>
      </c>
    </row>
    <row r="159" spans="1:5">
      <c r="A159" s="68">
        <v>5</v>
      </c>
      <c r="B159" s="68">
        <v>7</v>
      </c>
      <c r="C159" s="68">
        <v>2</v>
      </c>
      <c r="D159" s="24">
        <f t="shared" si="2"/>
        <v>70</v>
      </c>
      <c r="E159" t="s">
        <v>53</v>
      </c>
    </row>
    <row r="160" spans="1:5">
      <c r="A160" s="68">
        <v>5</v>
      </c>
      <c r="B160" s="68">
        <v>2</v>
      </c>
      <c r="C160" s="68">
        <v>7</v>
      </c>
      <c r="D160" s="24">
        <f t="shared" si="2"/>
        <v>70</v>
      </c>
      <c r="E160" t="s">
        <v>56</v>
      </c>
    </row>
    <row r="161" spans="1:5">
      <c r="A161">
        <v>5</v>
      </c>
      <c r="B161">
        <v>4</v>
      </c>
      <c r="C161">
        <v>4</v>
      </c>
      <c r="D161" s="24">
        <f t="shared" si="2"/>
        <v>80</v>
      </c>
      <c r="E161" t="s">
        <v>53</v>
      </c>
    </row>
    <row r="162" spans="1:5">
      <c r="A162" s="68">
        <v>5</v>
      </c>
      <c r="B162" s="68">
        <v>7</v>
      </c>
      <c r="C162" s="68">
        <v>3</v>
      </c>
      <c r="D162" s="24">
        <f t="shared" si="2"/>
        <v>105</v>
      </c>
      <c r="E162" t="s">
        <v>53</v>
      </c>
    </row>
    <row r="163" spans="1:5">
      <c r="A163" s="68">
        <v>5</v>
      </c>
      <c r="B163" s="68">
        <v>3</v>
      </c>
      <c r="C163" s="68">
        <v>7</v>
      </c>
      <c r="D163" s="24">
        <f t="shared" si="2"/>
        <v>105</v>
      </c>
      <c r="E163" t="s">
        <v>56</v>
      </c>
    </row>
    <row r="164" spans="1:5">
      <c r="A164" s="68">
        <v>5</v>
      </c>
      <c r="B164" s="68">
        <v>8</v>
      </c>
      <c r="C164" s="68">
        <v>3</v>
      </c>
      <c r="D164" s="24">
        <f t="shared" si="2"/>
        <v>120</v>
      </c>
      <c r="E164" t="s">
        <v>53</v>
      </c>
    </row>
    <row r="165" spans="1:5">
      <c r="A165" s="68">
        <v>5</v>
      </c>
      <c r="B165" s="68">
        <v>6</v>
      </c>
      <c r="C165" s="68">
        <v>4</v>
      </c>
      <c r="D165" s="24">
        <f t="shared" si="2"/>
        <v>120</v>
      </c>
      <c r="E165" t="s">
        <v>53</v>
      </c>
    </row>
    <row r="166" spans="1:5">
      <c r="A166" s="68">
        <v>5</v>
      </c>
      <c r="B166" s="68">
        <v>4</v>
      </c>
      <c r="C166" s="68">
        <v>6</v>
      </c>
      <c r="D166" s="24">
        <f t="shared" si="2"/>
        <v>120</v>
      </c>
      <c r="E166" t="s">
        <v>53</v>
      </c>
    </row>
    <row r="167" spans="1:5">
      <c r="A167" s="68">
        <v>5</v>
      </c>
      <c r="B167" s="68">
        <v>3</v>
      </c>
      <c r="C167" s="68">
        <v>8</v>
      </c>
      <c r="D167" s="24">
        <f t="shared" si="2"/>
        <v>120</v>
      </c>
      <c r="E167" t="s">
        <v>56</v>
      </c>
    </row>
    <row r="168" spans="1:5">
      <c r="A168">
        <v>5</v>
      </c>
      <c r="B168">
        <v>5</v>
      </c>
      <c r="C168">
        <v>5</v>
      </c>
      <c r="D168" s="24">
        <f t="shared" si="2"/>
        <v>125</v>
      </c>
      <c r="E168" t="s">
        <v>53</v>
      </c>
    </row>
    <row r="169" spans="1:5">
      <c r="A169" s="68">
        <v>5</v>
      </c>
      <c r="B169" s="68">
        <v>9</v>
      </c>
      <c r="C169" s="68">
        <v>3</v>
      </c>
      <c r="D169" s="24">
        <f t="shared" si="2"/>
        <v>135</v>
      </c>
      <c r="E169" t="s">
        <v>53</v>
      </c>
    </row>
    <row r="170" spans="1:5">
      <c r="A170" s="68">
        <v>5</v>
      </c>
      <c r="B170" s="68">
        <v>3</v>
      </c>
      <c r="C170" s="68">
        <v>9</v>
      </c>
      <c r="D170" s="24">
        <f t="shared" si="2"/>
        <v>135</v>
      </c>
      <c r="E170" t="s">
        <v>56</v>
      </c>
    </row>
    <row r="171" spans="1:5">
      <c r="A171" s="68">
        <v>5</v>
      </c>
      <c r="B171" s="68">
        <v>7</v>
      </c>
      <c r="C171" s="68">
        <v>4</v>
      </c>
      <c r="D171" s="24">
        <f t="shared" si="2"/>
        <v>140</v>
      </c>
      <c r="E171" t="s">
        <v>53</v>
      </c>
    </row>
    <row r="172" spans="1:5">
      <c r="A172" s="68">
        <v>5</v>
      </c>
      <c r="B172" s="68">
        <v>4</v>
      </c>
      <c r="C172" s="68">
        <v>7</v>
      </c>
      <c r="D172" s="24">
        <f t="shared" si="2"/>
        <v>140</v>
      </c>
      <c r="E172" t="s">
        <v>53</v>
      </c>
    </row>
    <row r="173" spans="1:5">
      <c r="A173">
        <v>5</v>
      </c>
      <c r="B173">
        <v>6</v>
      </c>
      <c r="C173">
        <v>6</v>
      </c>
      <c r="D173" s="24">
        <f t="shared" si="2"/>
        <v>180</v>
      </c>
      <c r="E173" t="s">
        <v>53</v>
      </c>
    </row>
    <row r="174" spans="1:5">
      <c r="A174" s="68">
        <v>5</v>
      </c>
      <c r="B174" s="68">
        <v>7</v>
      </c>
      <c r="C174" s="68">
        <v>6</v>
      </c>
      <c r="D174" s="24">
        <f t="shared" si="2"/>
        <v>210</v>
      </c>
      <c r="E174" t="s">
        <v>53</v>
      </c>
    </row>
    <row r="175" spans="1:5">
      <c r="A175" s="68">
        <v>5</v>
      </c>
      <c r="B175" s="68">
        <v>6</v>
      </c>
      <c r="C175" s="68">
        <v>7</v>
      </c>
      <c r="D175" s="24">
        <f t="shared" si="2"/>
        <v>210</v>
      </c>
      <c r="E175" t="s">
        <v>53</v>
      </c>
    </row>
    <row r="176" spans="1:5">
      <c r="A176" s="68">
        <v>5</v>
      </c>
      <c r="B176" s="68">
        <v>8</v>
      </c>
      <c r="C176" s="68">
        <v>6</v>
      </c>
      <c r="D176" s="24">
        <f t="shared" si="2"/>
        <v>240</v>
      </c>
      <c r="E176" t="s">
        <v>53</v>
      </c>
    </row>
    <row r="177" spans="1:5">
      <c r="A177" s="68">
        <v>5</v>
      </c>
      <c r="B177" s="68">
        <v>6</v>
      </c>
      <c r="C177" s="68">
        <v>8</v>
      </c>
      <c r="D177" s="24">
        <f t="shared" si="2"/>
        <v>240</v>
      </c>
      <c r="E177" t="s">
        <v>53</v>
      </c>
    </row>
    <row r="178" spans="1:5">
      <c r="A178">
        <v>5</v>
      </c>
      <c r="B178">
        <v>7</v>
      </c>
      <c r="C178">
        <v>7</v>
      </c>
      <c r="D178" s="24">
        <f t="shared" si="2"/>
        <v>245</v>
      </c>
      <c r="E178" t="s">
        <v>53</v>
      </c>
    </row>
    <row r="179" spans="1:5">
      <c r="A179" s="68">
        <v>5</v>
      </c>
      <c r="B179" s="68">
        <v>9</v>
      </c>
      <c r="C179" s="68">
        <v>6</v>
      </c>
      <c r="D179" s="24">
        <f t="shared" si="2"/>
        <v>270</v>
      </c>
      <c r="E179" t="s">
        <v>53</v>
      </c>
    </row>
    <row r="180" spans="1:5">
      <c r="A180" s="68">
        <v>5</v>
      </c>
      <c r="B180" s="68">
        <v>6</v>
      </c>
      <c r="C180" s="68">
        <v>9</v>
      </c>
      <c r="D180" s="24">
        <f t="shared" si="2"/>
        <v>270</v>
      </c>
      <c r="E180" t="s">
        <v>53</v>
      </c>
    </row>
    <row r="181" spans="1:5">
      <c r="A181" s="68">
        <v>5</v>
      </c>
      <c r="B181" s="68">
        <v>8</v>
      </c>
      <c r="C181" s="68">
        <v>7</v>
      </c>
      <c r="D181" s="24">
        <f t="shared" si="2"/>
        <v>280</v>
      </c>
      <c r="E181" t="s">
        <v>53</v>
      </c>
    </row>
    <row r="182" spans="1:5">
      <c r="A182" s="68">
        <v>5</v>
      </c>
      <c r="B182" s="68">
        <v>7</v>
      </c>
      <c r="C182" s="68">
        <v>8</v>
      </c>
      <c r="D182" s="24">
        <f t="shared" si="2"/>
        <v>280</v>
      </c>
      <c r="E182" t="s">
        <v>53</v>
      </c>
    </row>
    <row r="183" spans="1:5">
      <c r="A183">
        <v>5</v>
      </c>
      <c r="B183">
        <v>8</v>
      </c>
      <c r="C183">
        <v>8</v>
      </c>
      <c r="D183" s="24">
        <f t="shared" si="2"/>
        <v>320</v>
      </c>
      <c r="E183" t="s">
        <v>53</v>
      </c>
    </row>
    <row r="184" spans="1:5">
      <c r="A184" s="68">
        <v>5</v>
      </c>
      <c r="B184" s="68">
        <v>10</v>
      </c>
      <c r="C184" s="68">
        <v>7</v>
      </c>
      <c r="D184" s="24">
        <f t="shared" si="2"/>
        <v>350</v>
      </c>
      <c r="E184" t="s">
        <v>53</v>
      </c>
    </row>
    <row r="185" spans="1:5">
      <c r="A185" s="68">
        <v>5</v>
      </c>
      <c r="B185" s="68">
        <v>7</v>
      </c>
      <c r="C185" s="68">
        <v>10</v>
      </c>
      <c r="D185" s="24">
        <f t="shared" si="2"/>
        <v>350</v>
      </c>
      <c r="E185" t="s">
        <v>53</v>
      </c>
    </row>
    <row r="186" spans="1:5">
      <c r="A186">
        <v>5</v>
      </c>
      <c r="B186">
        <v>9</v>
      </c>
      <c r="C186">
        <v>9</v>
      </c>
      <c r="D186" s="24">
        <f t="shared" si="2"/>
        <v>405</v>
      </c>
      <c r="E186" t="s">
        <v>53</v>
      </c>
    </row>
    <row r="187" spans="1:5">
      <c r="A187" s="68">
        <v>5</v>
      </c>
      <c r="B187" s="68">
        <v>10</v>
      </c>
      <c r="C187" s="68">
        <v>9</v>
      </c>
      <c r="D187" s="24">
        <f t="shared" si="2"/>
        <v>450</v>
      </c>
      <c r="E187" t="s">
        <v>53</v>
      </c>
    </row>
    <row r="188" spans="1:5">
      <c r="A188" s="68">
        <v>5</v>
      </c>
      <c r="B188" s="68">
        <v>9</v>
      </c>
      <c r="C188" s="68">
        <v>10</v>
      </c>
      <c r="D188" s="24">
        <f t="shared" si="2"/>
        <v>450</v>
      </c>
      <c r="E188" t="s">
        <v>53</v>
      </c>
    </row>
    <row r="189" spans="1:5">
      <c r="A189">
        <v>5</v>
      </c>
      <c r="B189">
        <v>10</v>
      </c>
      <c r="C189">
        <v>10</v>
      </c>
      <c r="D189" s="24">
        <f t="shared" si="2"/>
        <v>500</v>
      </c>
      <c r="E189" t="s">
        <v>53</v>
      </c>
    </row>
    <row r="190" spans="1:5">
      <c r="A190">
        <v>6</v>
      </c>
      <c r="B190">
        <v>1</v>
      </c>
      <c r="C190">
        <v>1</v>
      </c>
      <c r="D190" s="24">
        <f t="shared" si="2"/>
        <v>6</v>
      </c>
      <c r="E190" t="s">
        <v>52</v>
      </c>
    </row>
    <row r="191" spans="1:5">
      <c r="A191">
        <v>6</v>
      </c>
      <c r="B191">
        <v>2</v>
      </c>
      <c r="C191">
        <v>2</v>
      </c>
      <c r="D191" s="24">
        <f t="shared" si="2"/>
        <v>24</v>
      </c>
      <c r="E191" t="s">
        <v>56</v>
      </c>
    </row>
    <row r="192" spans="1:5">
      <c r="A192" s="68">
        <v>6</v>
      </c>
      <c r="B192" s="68">
        <v>5</v>
      </c>
      <c r="C192" s="68">
        <v>1</v>
      </c>
      <c r="D192" s="24">
        <f t="shared" si="2"/>
        <v>30</v>
      </c>
      <c r="E192" t="s">
        <v>53</v>
      </c>
    </row>
    <row r="193" spans="1:5">
      <c r="A193" s="68">
        <v>6</v>
      </c>
      <c r="B193" s="68">
        <v>1</v>
      </c>
      <c r="C193" s="68">
        <v>5</v>
      </c>
      <c r="D193" s="24">
        <f t="shared" si="2"/>
        <v>30</v>
      </c>
      <c r="E193" t="s">
        <v>52</v>
      </c>
    </row>
    <row r="194" spans="1:5">
      <c r="A194" s="68">
        <v>6</v>
      </c>
      <c r="B194" s="68">
        <v>7</v>
      </c>
      <c r="C194" s="68">
        <v>1</v>
      </c>
      <c r="D194" s="24">
        <f t="shared" si="2"/>
        <v>42</v>
      </c>
      <c r="E194" t="s">
        <v>53</v>
      </c>
    </row>
    <row r="195" spans="1:5">
      <c r="A195" s="68">
        <v>6</v>
      </c>
      <c r="B195" s="68">
        <v>1</v>
      </c>
      <c r="C195" s="68">
        <v>7</v>
      </c>
      <c r="D195" s="24">
        <f t="shared" si="2"/>
        <v>42</v>
      </c>
      <c r="E195" t="s">
        <v>52</v>
      </c>
    </row>
    <row r="196" spans="1:5">
      <c r="A196">
        <v>6</v>
      </c>
      <c r="B196">
        <v>3</v>
      </c>
      <c r="C196">
        <v>3</v>
      </c>
      <c r="D196" s="24">
        <f t="shared" si="2"/>
        <v>54</v>
      </c>
      <c r="E196" t="s">
        <v>56</v>
      </c>
    </row>
    <row r="197" spans="1:5">
      <c r="A197" s="68">
        <v>6</v>
      </c>
      <c r="B197" s="68">
        <v>10</v>
      </c>
      <c r="C197" s="68">
        <v>1</v>
      </c>
      <c r="D197" s="24">
        <f t="shared" si="2"/>
        <v>60</v>
      </c>
      <c r="E197" t="s">
        <v>53</v>
      </c>
    </row>
    <row r="198" spans="1:5">
      <c r="A198" s="68">
        <v>6</v>
      </c>
      <c r="B198" s="68">
        <v>5</v>
      </c>
      <c r="C198" s="68">
        <v>2</v>
      </c>
      <c r="D198" s="24">
        <f t="shared" si="2"/>
        <v>60</v>
      </c>
      <c r="E198" t="s">
        <v>53</v>
      </c>
    </row>
    <row r="199" spans="1:5">
      <c r="A199" s="68">
        <v>6</v>
      </c>
      <c r="B199" s="68">
        <v>2</v>
      </c>
      <c r="C199" s="68">
        <v>5</v>
      </c>
      <c r="D199" s="24">
        <f t="shared" ref="D199:D262" si="3">A199*B199*C199</f>
        <v>60</v>
      </c>
      <c r="E199" t="s">
        <v>56</v>
      </c>
    </row>
    <row r="200" spans="1:5">
      <c r="A200" s="68">
        <v>6</v>
      </c>
      <c r="B200" s="68">
        <v>1</v>
      </c>
      <c r="C200" s="68">
        <v>10</v>
      </c>
      <c r="D200" s="24">
        <f t="shared" si="3"/>
        <v>60</v>
      </c>
      <c r="E200" t="s">
        <v>52</v>
      </c>
    </row>
    <row r="201" spans="1:5">
      <c r="A201" s="68">
        <v>6</v>
      </c>
      <c r="B201" s="68">
        <v>7</v>
      </c>
      <c r="C201" s="68">
        <v>2</v>
      </c>
      <c r="D201" s="24">
        <f t="shared" si="3"/>
        <v>84</v>
      </c>
      <c r="E201" t="s">
        <v>53</v>
      </c>
    </row>
    <row r="202" spans="1:5">
      <c r="A202" s="68">
        <v>6</v>
      </c>
      <c r="B202" s="68">
        <v>2</v>
      </c>
      <c r="C202" s="68">
        <v>7</v>
      </c>
      <c r="D202" s="24">
        <f t="shared" si="3"/>
        <v>84</v>
      </c>
      <c r="E202" t="s">
        <v>56</v>
      </c>
    </row>
    <row r="203" spans="1:5">
      <c r="A203">
        <v>6</v>
      </c>
      <c r="B203">
        <v>4</v>
      </c>
      <c r="C203">
        <v>4</v>
      </c>
      <c r="D203" s="24">
        <f t="shared" si="3"/>
        <v>96</v>
      </c>
      <c r="E203" t="s">
        <v>53</v>
      </c>
    </row>
    <row r="204" spans="1:5">
      <c r="A204" s="68">
        <v>6</v>
      </c>
      <c r="B204" s="68">
        <v>10</v>
      </c>
      <c r="C204" s="68">
        <v>2</v>
      </c>
      <c r="D204" s="24">
        <f t="shared" si="3"/>
        <v>120</v>
      </c>
      <c r="E204" t="s">
        <v>53</v>
      </c>
    </row>
    <row r="205" spans="1:5">
      <c r="A205" s="68">
        <v>6</v>
      </c>
      <c r="B205" s="68">
        <v>5</v>
      </c>
      <c r="C205" s="68">
        <v>4</v>
      </c>
      <c r="D205" s="24">
        <f t="shared" si="3"/>
        <v>120</v>
      </c>
      <c r="E205" t="s">
        <v>53</v>
      </c>
    </row>
    <row r="206" spans="1:5">
      <c r="A206" s="68">
        <v>6</v>
      </c>
      <c r="B206" s="68">
        <v>4</v>
      </c>
      <c r="C206" s="68">
        <v>5</v>
      </c>
      <c r="D206" s="24">
        <f t="shared" si="3"/>
        <v>120</v>
      </c>
      <c r="E206" t="s">
        <v>53</v>
      </c>
    </row>
    <row r="207" spans="1:5">
      <c r="A207" s="68">
        <v>6</v>
      </c>
      <c r="B207" s="68">
        <v>2</v>
      </c>
      <c r="C207" s="68">
        <v>10</v>
      </c>
      <c r="D207" s="24">
        <f t="shared" si="3"/>
        <v>120</v>
      </c>
      <c r="E207" t="s">
        <v>56</v>
      </c>
    </row>
    <row r="208" spans="1:5">
      <c r="A208" s="68">
        <v>6</v>
      </c>
      <c r="B208" s="68">
        <v>7</v>
      </c>
      <c r="C208" s="68">
        <v>3</v>
      </c>
      <c r="D208" s="24">
        <f t="shared" si="3"/>
        <v>126</v>
      </c>
      <c r="E208" t="s">
        <v>53</v>
      </c>
    </row>
    <row r="209" spans="1:5">
      <c r="A209" s="68">
        <v>6</v>
      </c>
      <c r="B209" s="68">
        <v>3</v>
      </c>
      <c r="C209" s="68">
        <v>7</v>
      </c>
      <c r="D209" s="24">
        <f t="shared" si="3"/>
        <v>126</v>
      </c>
      <c r="E209" t="s">
        <v>56</v>
      </c>
    </row>
    <row r="210" spans="1:5">
      <c r="A210">
        <v>6</v>
      </c>
      <c r="B210">
        <v>5</v>
      </c>
      <c r="C210">
        <v>5</v>
      </c>
      <c r="D210" s="24">
        <f t="shared" si="3"/>
        <v>150</v>
      </c>
      <c r="E210" t="s">
        <v>53</v>
      </c>
    </row>
    <row r="211" spans="1:5">
      <c r="A211" s="68">
        <v>6</v>
      </c>
      <c r="B211" s="68">
        <v>7</v>
      </c>
      <c r="C211" s="68">
        <v>4</v>
      </c>
      <c r="D211" s="24">
        <f t="shared" si="3"/>
        <v>168</v>
      </c>
      <c r="E211" t="s">
        <v>53</v>
      </c>
    </row>
    <row r="212" spans="1:5">
      <c r="A212" s="68">
        <v>6</v>
      </c>
      <c r="B212" s="68">
        <v>4</v>
      </c>
      <c r="C212" s="68">
        <v>7</v>
      </c>
      <c r="D212" s="24">
        <f t="shared" si="3"/>
        <v>168</v>
      </c>
      <c r="E212" t="s">
        <v>53</v>
      </c>
    </row>
    <row r="213" spans="1:5">
      <c r="A213" s="68">
        <v>6</v>
      </c>
      <c r="B213" s="68">
        <v>7</v>
      </c>
      <c r="C213" s="68">
        <v>5</v>
      </c>
      <c r="D213" s="24">
        <f t="shared" si="3"/>
        <v>210</v>
      </c>
      <c r="E213" t="s">
        <v>53</v>
      </c>
    </row>
    <row r="214" spans="1:5">
      <c r="A214" s="68">
        <v>6</v>
      </c>
      <c r="B214" s="68">
        <v>5</v>
      </c>
      <c r="C214" s="68">
        <v>7</v>
      </c>
      <c r="D214" s="24">
        <f t="shared" si="3"/>
        <v>210</v>
      </c>
      <c r="E214" t="s">
        <v>53</v>
      </c>
    </row>
    <row r="215" spans="1:5">
      <c r="A215">
        <v>6</v>
      </c>
      <c r="B215">
        <v>6</v>
      </c>
      <c r="C215">
        <v>6</v>
      </c>
      <c r="D215" s="24">
        <f t="shared" si="3"/>
        <v>216</v>
      </c>
      <c r="E215" t="s">
        <v>53</v>
      </c>
    </row>
    <row r="216" spans="1:5">
      <c r="A216" s="68">
        <v>6</v>
      </c>
      <c r="B216" s="68">
        <v>10</v>
      </c>
      <c r="C216" s="68">
        <v>4</v>
      </c>
      <c r="D216" s="24">
        <f t="shared" si="3"/>
        <v>240</v>
      </c>
      <c r="E216" t="s">
        <v>53</v>
      </c>
    </row>
    <row r="217" spans="1:5">
      <c r="A217" s="68">
        <v>6</v>
      </c>
      <c r="B217" s="68">
        <v>8</v>
      </c>
      <c r="C217" s="68">
        <v>5</v>
      </c>
      <c r="D217" s="24">
        <f t="shared" si="3"/>
        <v>240</v>
      </c>
      <c r="E217" t="s">
        <v>53</v>
      </c>
    </row>
    <row r="218" spans="1:5">
      <c r="A218" s="68">
        <v>6</v>
      </c>
      <c r="B218" s="68">
        <v>5</v>
      </c>
      <c r="C218" s="68">
        <v>8</v>
      </c>
      <c r="D218" s="24">
        <f t="shared" si="3"/>
        <v>240</v>
      </c>
      <c r="E218" t="s">
        <v>53</v>
      </c>
    </row>
    <row r="219" spans="1:5">
      <c r="A219" s="68">
        <v>6</v>
      </c>
      <c r="B219" s="68">
        <v>4</v>
      </c>
      <c r="C219" s="68">
        <v>10</v>
      </c>
      <c r="D219" s="24">
        <f t="shared" si="3"/>
        <v>240</v>
      </c>
      <c r="E219" t="s">
        <v>53</v>
      </c>
    </row>
    <row r="220" spans="1:5">
      <c r="A220" s="68">
        <v>6</v>
      </c>
      <c r="B220" s="68">
        <v>9</v>
      </c>
      <c r="C220" s="68">
        <v>5</v>
      </c>
      <c r="D220" s="24">
        <f t="shared" si="3"/>
        <v>270</v>
      </c>
      <c r="E220" t="s">
        <v>53</v>
      </c>
    </row>
    <row r="221" spans="1:5">
      <c r="A221" s="68">
        <v>6</v>
      </c>
      <c r="B221" s="68">
        <v>5</v>
      </c>
      <c r="C221" s="68">
        <v>9</v>
      </c>
      <c r="D221" s="24">
        <f t="shared" si="3"/>
        <v>270</v>
      </c>
      <c r="E221" t="s">
        <v>53</v>
      </c>
    </row>
    <row r="222" spans="1:5">
      <c r="A222">
        <v>6</v>
      </c>
      <c r="B222">
        <v>7</v>
      </c>
      <c r="C222">
        <v>7</v>
      </c>
      <c r="D222" s="24">
        <f t="shared" si="3"/>
        <v>294</v>
      </c>
      <c r="E222" t="s">
        <v>53</v>
      </c>
    </row>
    <row r="223" spans="1:5">
      <c r="A223" s="68">
        <v>6</v>
      </c>
      <c r="B223" s="68">
        <v>8</v>
      </c>
      <c r="C223" s="68">
        <v>7</v>
      </c>
      <c r="D223" s="24">
        <f t="shared" si="3"/>
        <v>336</v>
      </c>
      <c r="E223" t="s">
        <v>53</v>
      </c>
    </row>
    <row r="224" spans="1:5">
      <c r="A224" s="68">
        <v>6</v>
      </c>
      <c r="B224" s="68">
        <v>7</v>
      </c>
      <c r="C224" s="68">
        <v>8</v>
      </c>
      <c r="D224" s="24">
        <f t="shared" si="3"/>
        <v>336</v>
      </c>
      <c r="E224" t="s">
        <v>53</v>
      </c>
    </row>
    <row r="225" spans="1:5">
      <c r="A225" s="68">
        <v>6</v>
      </c>
      <c r="B225" s="68">
        <v>9</v>
      </c>
      <c r="C225" s="68">
        <v>7</v>
      </c>
      <c r="D225" s="24">
        <f t="shared" si="3"/>
        <v>378</v>
      </c>
      <c r="E225" t="s">
        <v>53</v>
      </c>
    </row>
    <row r="226" spans="1:5">
      <c r="A226" s="68">
        <v>6</v>
      </c>
      <c r="B226" s="68">
        <v>7</v>
      </c>
      <c r="C226" s="68">
        <v>9</v>
      </c>
      <c r="D226" s="24">
        <f t="shared" si="3"/>
        <v>378</v>
      </c>
      <c r="E226" t="s">
        <v>53</v>
      </c>
    </row>
    <row r="227" spans="1:5">
      <c r="A227">
        <v>6</v>
      </c>
      <c r="B227">
        <v>8</v>
      </c>
      <c r="C227">
        <v>8</v>
      </c>
      <c r="D227" s="24">
        <f t="shared" si="3"/>
        <v>384</v>
      </c>
      <c r="E227" t="s">
        <v>53</v>
      </c>
    </row>
    <row r="228" spans="1:5">
      <c r="A228" s="68">
        <v>6</v>
      </c>
      <c r="B228" s="68">
        <v>10</v>
      </c>
      <c r="C228" s="68">
        <v>7</v>
      </c>
      <c r="D228" s="24">
        <f t="shared" si="3"/>
        <v>420</v>
      </c>
      <c r="E228" t="s">
        <v>53</v>
      </c>
    </row>
    <row r="229" spans="1:5">
      <c r="A229" s="68">
        <v>6</v>
      </c>
      <c r="B229" s="68">
        <v>7</v>
      </c>
      <c r="C229" s="68">
        <v>10</v>
      </c>
      <c r="D229" s="24">
        <f t="shared" si="3"/>
        <v>420</v>
      </c>
      <c r="E229" t="s">
        <v>53</v>
      </c>
    </row>
    <row r="230" spans="1:5">
      <c r="A230" s="68">
        <v>6</v>
      </c>
      <c r="B230" s="68">
        <v>9</v>
      </c>
      <c r="C230" s="68">
        <v>8</v>
      </c>
      <c r="D230" s="24">
        <f t="shared" si="3"/>
        <v>432</v>
      </c>
      <c r="E230" t="s">
        <v>53</v>
      </c>
    </row>
    <row r="231" spans="1:5">
      <c r="A231" s="68">
        <v>6</v>
      </c>
      <c r="B231" s="68">
        <v>8</v>
      </c>
      <c r="C231" s="68">
        <v>9</v>
      </c>
      <c r="D231" s="24">
        <f t="shared" si="3"/>
        <v>432</v>
      </c>
      <c r="E231" t="s">
        <v>53</v>
      </c>
    </row>
    <row r="232" spans="1:5">
      <c r="A232" s="68">
        <v>6</v>
      </c>
      <c r="B232" s="68">
        <v>10</v>
      </c>
      <c r="C232" s="68">
        <v>8</v>
      </c>
      <c r="D232" s="24">
        <f t="shared" si="3"/>
        <v>480</v>
      </c>
      <c r="E232" t="s">
        <v>53</v>
      </c>
    </row>
    <row r="233" spans="1:5">
      <c r="A233" s="68">
        <v>6</v>
      </c>
      <c r="B233" s="68">
        <v>8</v>
      </c>
      <c r="C233" s="68">
        <v>10</v>
      </c>
      <c r="D233" s="24">
        <f t="shared" si="3"/>
        <v>480</v>
      </c>
      <c r="E233" t="s">
        <v>53</v>
      </c>
    </row>
    <row r="234" spans="1:5">
      <c r="A234">
        <v>6</v>
      </c>
      <c r="B234">
        <v>9</v>
      </c>
      <c r="C234">
        <v>9</v>
      </c>
      <c r="D234" s="24">
        <f t="shared" si="3"/>
        <v>486</v>
      </c>
      <c r="E234" t="s">
        <v>53</v>
      </c>
    </row>
    <row r="235" spans="1:5">
      <c r="A235" s="68">
        <v>6</v>
      </c>
      <c r="B235" s="68">
        <v>10</v>
      </c>
      <c r="C235" s="68">
        <v>9</v>
      </c>
      <c r="D235" s="24">
        <f t="shared" si="3"/>
        <v>540</v>
      </c>
      <c r="E235" t="s">
        <v>53</v>
      </c>
    </row>
    <row r="236" spans="1:5">
      <c r="A236" s="68">
        <v>6</v>
      </c>
      <c r="B236" s="68">
        <v>9</v>
      </c>
      <c r="C236" s="68">
        <v>10</v>
      </c>
      <c r="D236" s="24">
        <f t="shared" si="3"/>
        <v>540</v>
      </c>
      <c r="E236" t="s">
        <v>53</v>
      </c>
    </row>
    <row r="237" spans="1:5">
      <c r="A237">
        <v>6</v>
      </c>
      <c r="B237">
        <v>10</v>
      </c>
      <c r="C237">
        <v>10</v>
      </c>
      <c r="D237" s="24">
        <f t="shared" si="3"/>
        <v>600</v>
      </c>
      <c r="E237" t="s">
        <v>53</v>
      </c>
    </row>
    <row r="238" spans="1:5">
      <c r="A238">
        <v>7</v>
      </c>
      <c r="B238">
        <v>1</v>
      </c>
      <c r="C238">
        <v>1</v>
      </c>
      <c r="D238" s="24">
        <f t="shared" si="3"/>
        <v>7</v>
      </c>
      <c r="E238" t="s">
        <v>52</v>
      </c>
    </row>
    <row r="239" spans="1:5">
      <c r="A239" s="68">
        <v>7</v>
      </c>
      <c r="B239" s="68">
        <v>2</v>
      </c>
      <c r="C239" s="68">
        <v>1</v>
      </c>
      <c r="D239" s="24">
        <f t="shared" si="3"/>
        <v>14</v>
      </c>
      <c r="E239" t="s">
        <v>56</v>
      </c>
    </row>
    <row r="240" spans="1:5">
      <c r="A240" s="68">
        <v>7</v>
      </c>
      <c r="B240" s="68">
        <v>1</v>
      </c>
      <c r="C240" s="68">
        <v>2</v>
      </c>
      <c r="D240" s="24">
        <f t="shared" si="3"/>
        <v>14</v>
      </c>
      <c r="E240" t="s">
        <v>52</v>
      </c>
    </row>
    <row r="241" spans="1:5">
      <c r="A241" s="68">
        <v>7</v>
      </c>
      <c r="B241" s="68">
        <v>3</v>
      </c>
      <c r="C241" s="68">
        <v>1</v>
      </c>
      <c r="D241" s="24">
        <f t="shared" si="3"/>
        <v>21</v>
      </c>
      <c r="E241" t="s">
        <v>56</v>
      </c>
    </row>
    <row r="242" spans="1:5">
      <c r="A242" s="68">
        <v>7</v>
      </c>
      <c r="B242" s="68">
        <v>1</v>
      </c>
      <c r="C242" s="68">
        <v>3</v>
      </c>
      <c r="D242" s="24">
        <f t="shared" si="3"/>
        <v>21</v>
      </c>
      <c r="E242" t="s">
        <v>52</v>
      </c>
    </row>
    <row r="243" spans="1:5">
      <c r="A243">
        <v>7</v>
      </c>
      <c r="B243">
        <v>2</v>
      </c>
      <c r="C243">
        <v>2</v>
      </c>
      <c r="D243" s="24">
        <f t="shared" si="3"/>
        <v>28</v>
      </c>
      <c r="E243" t="s">
        <v>56</v>
      </c>
    </row>
    <row r="244" spans="1:5">
      <c r="A244" s="68">
        <v>7</v>
      </c>
      <c r="B244" s="68">
        <v>5</v>
      </c>
      <c r="C244" s="68">
        <v>1</v>
      </c>
      <c r="D244" s="24">
        <f t="shared" si="3"/>
        <v>35</v>
      </c>
      <c r="E244" t="s">
        <v>53</v>
      </c>
    </row>
    <row r="245" spans="1:5">
      <c r="A245" s="68">
        <v>7</v>
      </c>
      <c r="B245" s="68">
        <v>1</v>
      </c>
      <c r="C245" s="68">
        <v>5</v>
      </c>
      <c r="D245" s="24">
        <f t="shared" si="3"/>
        <v>35</v>
      </c>
      <c r="E245" t="s">
        <v>52</v>
      </c>
    </row>
    <row r="246" spans="1:5">
      <c r="A246" s="68">
        <v>7</v>
      </c>
      <c r="B246" s="68">
        <v>6</v>
      </c>
      <c r="C246" s="68">
        <v>1</v>
      </c>
      <c r="D246" s="24">
        <f t="shared" si="3"/>
        <v>42</v>
      </c>
      <c r="E246" t="s">
        <v>53</v>
      </c>
    </row>
    <row r="247" spans="1:5">
      <c r="A247" s="68">
        <v>7</v>
      </c>
      <c r="B247" s="68">
        <v>3</v>
      </c>
      <c r="C247" s="68">
        <v>2</v>
      </c>
      <c r="D247" s="24">
        <f t="shared" si="3"/>
        <v>42</v>
      </c>
      <c r="E247" t="s">
        <v>56</v>
      </c>
    </row>
    <row r="248" spans="1:5">
      <c r="A248" s="68">
        <v>7</v>
      </c>
      <c r="B248" s="68">
        <v>2</v>
      </c>
      <c r="C248" s="68">
        <v>3</v>
      </c>
      <c r="D248" s="24">
        <f t="shared" si="3"/>
        <v>42</v>
      </c>
      <c r="E248" t="s">
        <v>56</v>
      </c>
    </row>
    <row r="249" spans="1:5">
      <c r="A249" s="68">
        <v>7</v>
      </c>
      <c r="B249" s="68">
        <v>1</v>
      </c>
      <c r="C249" s="68">
        <v>6</v>
      </c>
      <c r="D249" s="24">
        <f t="shared" si="3"/>
        <v>42</v>
      </c>
      <c r="E249" t="s">
        <v>52</v>
      </c>
    </row>
    <row r="250" spans="1:5">
      <c r="A250" s="68">
        <v>7</v>
      </c>
      <c r="B250" s="68">
        <v>8</v>
      </c>
      <c r="C250" s="68">
        <v>1</v>
      </c>
      <c r="D250" s="24">
        <f t="shared" si="3"/>
        <v>56</v>
      </c>
      <c r="E250" t="s">
        <v>53</v>
      </c>
    </row>
    <row r="251" spans="1:5">
      <c r="A251" s="68">
        <v>7</v>
      </c>
      <c r="B251" s="68">
        <v>4</v>
      </c>
      <c r="C251" s="68">
        <v>2</v>
      </c>
      <c r="D251" s="24">
        <f t="shared" si="3"/>
        <v>56</v>
      </c>
      <c r="E251" t="s">
        <v>53</v>
      </c>
    </row>
    <row r="252" spans="1:5">
      <c r="A252" s="68">
        <v>7</v>
      </c>
      <c r="B252" s="68">
        <v>2</v>
      </c>
      <c r="C252" s="68">
        <v>4</v>
      </c>
      <c r="D252" s="24">
        <f t="shared" si="3"/>
        <v>56</v>
      </c>
      <c r="E252" t="s">
        <v>56</v>
      </c>
    </row>
    <row r="253" spans="1:5">
      <c r="A253" s="68">
        <v>7</v>
      </c>
      <c r="B253" s="68">
        <v>1</v>
      </c>
      <c r="C253" s="68">
        <v>8</v>
      </c>
      <c r="D253" s="24">
        <f t="shared" si="3"/>
        <v>56</v>
      </c>
      <c r="E253" t="s">
        <v>52</v>
      </c>
    </row>
    <row r="254" spans="1:5">
      <c r="A254">
        <v>7</v>
      </c>
      <c r="B254">
        <v>3</v>
      </c>
      <c r="C254">
        <v>3</v>
      </c>
      <c r="D254" s="24">
        <f t="shared" si="3"/>
        <v>63</v>
      </c>
      <c r="E254" t="s">
        <v>56</v>
      </c>
    </row>
    <row r="255" spans="1:5">
      <c r="A255" s="68">
        <v>7</v>
      </c>
      <c r="B255" s="68">
        <v>10</v>
      </c>
      <c r="C255" s="68">
        <v>1</v>
      </c>
      <c r="D255" s="24">
        <f t="shared" si="3"/>
        <v>70</v>
      </c>
      <c r="E255" t="s">
        <v>53</v>
      </c>
    </row>
    <row r="256" spans="1:5">
      <c r="A256" s="68">
        <v>7</v>
      </c>
      <c r="B256" s="68">
        <v>5</v>
      </c>
      <c r="C256" s="68">
        <v>2</v>
      </c>
      <c r="D256" s="24">
        <f t="shared" si="3"/>
        <v>70</v>
      </c>
      <c r="E256" t="s">
        <v>53</v>
      </c>
    </row>
    <row r="257" spans="1:5">
      <c r="A257" s="68">
        <v>7</v>
      </c>
      <c r="B257" s="68">
        <v>2</v>
      </c>
      <c r="C257" s="68">
        <v>5</v>
      </c>
      <c r="D257" s="24">
        <f t="shared" si="3"/>
        <v>70</v>
      </c>
      <c r="E257" t="s">
        <v>56</v>
      </c>
    </row>
    <row r="258" spans="1:5">
      <c r="A258" s="68">
        <v>7</v>
      </c>
      <c r="B258" s="68">
        <v>1</v>
      </c>
      <c r="C258" s="68">
        <v>10</v>
      </c>
      <c r="D258" s="24">
        <f t="shared" si="3"/>
        <v>70</v>
      </c>
      <c r="E258" t="s">
        <v>52</v>
      </c>
    </row>
    <row r="259" spans="1:5">
      <c r="A259" s="68">
        <v>7</v>
      </c>
      <c r="B259" s="68">
        <v>6</v>
      </c>
      <c r="C259" s="68">
        <v>2</v>
      </c>
      <c r="D259" s="24">
        <f t="shared" si="3"/>
        <v>84</v>
      </c>
      <c r="E259" t="s">
        <v>53</v>
      </c>
    </row>
    <row r="260" spans="1:5">
      <c r="A260" s="68">
        <v>7</v>
      </c>
      <c r="B260" s="68">
        <v>4</v>
      </c>
      <c r="C260" s="68">
        <v>3</v>
      </c>
      <c r="D260" s="24">
        <f t="shared" si="3"/>
        <v>84</v>
      </c>
      <c r="E260" t="s">
        <v>53</v>
      </c>
    </row>
    <row r="261" spans="1:5">
      <c r="A261" s="68">
        <v>7</v>
      </c>
      <c r="B261" s="68">
        <v>3</v>
      </c>
      <c r="C261" s="68">
        <v>4</v>
      </c>
      <c r="D261" s="24">
        <f t="shared" si="3"/>
        <v>84</v>
      </c>
      <c r="E261" t="s">
        <v>56</v>
      </c>
    </row>
    <row r="262" spans="1:5">
      <c r="A262" s="68">
        <v>7</v>
      </c>
      <c r="B262" s="68">
        <v>2</v>
      </c>
      <c r="C262" s="68">
        <v>6</v>
      </c>
      <c r="D262" s="24">
        <f t="shared" si="3"/>
        <v>84</v>
      </c>
      <c r="E262" t="s">
        <v>56</v>
      </c>
    </row>
    <row r="263" spans="1:5">
      <c r="A263" s="68">
        <v>7</v>
      </c>
      <c r="B263" s="68">
        <v>5</v>
      </c>
      <c r="C263" s="68">
        <v>3</v>
      </c>
      <c r="D263" s="24">
        <f t="shared" ref="D263:D326" si="4">A263*B263*C263</f>
        <v>105</v>
      </c>
      <c r="E263" t="s">
        <v>53</v>
      </c>
    </row>
    <row r="264" spans="1:5">
      <c r="A264" s="68">
        <v>7</v>
      </c>
      <c r="B264" s="68">
        <v>3</v>
      </c>
      <c r="C264" s="68">
        <v>5</v>
      </c>
      <c r="D264" s="24">
        <f t="shared" si="4"/>
        <v>105</v>
      </c>
      <c r="E264" t="s">
        <v>56</v>
      </c>
    </row>
    <row r="265" spans="1:5">
      <c r="A265">
        <v>7</v>
      </c>
      <c r="B265">
        <v>4</v>
      </c>
      <c r="C265">
        <v>4</v>
      </c>
      <c r="D265" s="24">
        <f t="shared" si="4"/>
        <v>112</v>
      </c>
      <c r="E265" t="s">
        <v>53</v>
      </c>
    </row>
    <row r="266" spans="1:5">
      <c r="A266" s="68">
        <v>7</v>
      </c>
      <c r="B266" s="68">
        <v>9</v>
      </c>
      <c r="C266" s="68">
        <v>2</v>
      </c>
      <c r="D266" s="24">
        <f t="shared" si="4"/>
        <v>126</v>
      </c>
      <c r="E266" t="s">
        <v>53</v>
      </c>
    </row>
    <row r="267" spans="1:5">
      <c r="A267" s="68">
        <v>7</v>
      </c>
      <c r="B267" s="68">
        <v>6</v>
      </c>
      <c r="C267" s="68">
        <v>3</v>
      </c>
      <c r="D267" s="24">
        <f t="shared" si="4"/>
        <v>126</v>
      </c>
      <c r="E267" t="s">
        <v>53</v>
      </c>
    </row>
    <row r="268" spans="1:5">
      <c r="A268" s="68">
        <v>7</v>
      </c>
      <c r="B268" s="68">
        <v>3</v>
      </c>
      <c r="C268" s="68">
        <v>6</v>
      </c>
      <c r="D268" s="24">
        <f t="shared" si="4"/>
        <v>126</v>
      </c>
      <c r="E268" t="s">
        <v>56</v>
      </c>
    </row>
    <row r="269" spans="1:5">
      <c r="A269" s="68">
        <v>7</v>
      </c>
      <c r="B269" s="68">
        <v>2</v>
      </c>
      <c r="C269" s="68">
        <v>9</v>
      </c>
      <c r="D269" s="24">
        <f t="shared" si="4"/>
        <v>126</v>
      </c>
      <c r="E269" t="s">
        <v>56</v>
      </c>
    </row>
    <row r="270" spans="1:5">
      <c r="A270" s="68">
        <v>7</v>
      </c>
      <c r="B270" s="68">
        <v>10</v>
      </c>
      <c r="C270" s="68">
        <v>2</v>
      </c>
      <c r="D270" s="24">
        <f t="shared" si="4"/>
        <v>140</v>
      </c>
      <c r="E270" t="s">
        <v>53</v>
      </c>
    </row>
    <row r="271" spans="1:5">
      <c r="A271" s="68">
        <v>7</v>
      </c>
      <c r="B271" s="68">
        <v>5</v>
      </c>
      <c r="C271" s="68">
        <v>4</v>
      </c>
      <c r="D271" s="24">
        <f t="shared" si="4"/>
        <v>140</v>
      </c>
      <c r="E271" t="s">
        <v>53</v>
      </c>
    </row>
    <row r="272" spans="1:5">
      <c r="A272" s="68">
        <v>7</v>
      </c>
      <c r="B272" s="68">
        <v>4</v>
      </c>
      <c r="C272" s="68">
        <v>5</v>
      </c>
      <c r="D272" s="24">
        <f t="shared" si="4"/>
        <v>140</v>
      </c>
      <c r="E272" t="s">
        <v>53</v>
      </c>
    </row>
    <row r="273" spans="1:5">
      <c r="A273" s="68">
        <v>7</v>
      </c>
      <c r="B273" s="68">
        <v>2</v>
      </c>
      <c r="C273" s="68">
        <v>10</v>
      </c>
      <c r="D273" s="24">
        <f t="shared" si="4"/>
        <v>140</v>
      </c>
      <c r="E273" t="s">
        <v>56</v>
      </c>
    </row>
    <row r="274" spans="1:5">
      <c r="A274" s="68">
        <v>7</v>
      </c>
      <c r="B274" s="68">
        <v>8</v>
      </c>
      <c r="C274" s="68">
        <v>3</v>
      </c>
      <c r="D274" s="24">
        <f t="shared" si="4"/>
        <v>168</v>
      </c>
      <c r="E274" t="s">
        <v>53</v>
      </c>
    </row>
    <row r="275" spans="1:5">
      <c r="A275" s="68">
        <v>7</v>
      </c>
      <c r="B275" s="68">
        <v>6</v>
      </c>
      <c r="C275" s="68">
        <v>4</v>
      </c>
      <c r="D275" s="24">
        <f t="shared" si="4"/>
        <v>168</v>
      </c>
      <c r="E275" t="s">
        <v>53</v>
      </c>
    </row>
    <row r="276" spans="1:5">
      <c r="A276" s="68">
        <v>7</v>
      </c>
      <c r="B276" s="68">
        <v>4</v>
      </c>
      <c r="C276" s="68">
        <v>6</v>
      </c>
      <c r="D276" s="24">
        <f t="shared" si="4"/>
        <v>168</v>
      </c>
      <c r="E276" t="s">
        <v>53</v>
      </c>
    </row>
    <row r="277" spans="1:5">
      <c r="A277" s="68">
        <v>7</v>
      </c>
      <c r="B277" s="68">
        <v>3</v>
      </c>
      <c r="C277" s="68">
        <v>8</v>
      </c>
      <c r="D277" s="24">
        <f t="shared" si="4"/>
        <v>168</v>
      </c>
      <c r="E277" t="s">
        <v>56</v>
      </c>
    </row>
    <row r="278" spans="1:5">
      <c r="A278">
        <v>7</v>
      </c>
      <c r="B278">
        <v>5</v>
      </c>
      <c r="C278">
        <v>5</v>
      </c>
      <c r="D278" s="24">
        <f t="shared" si="4"/>
        <v>175</v>
      </c>
      <c r="E278" t="s">
        <v>53</v>
      </c>
    </row>
    <row r="279" spans="1:5">
      <c r="A279" s="68">
        <v>7</v>
      </c>
      <c r="B279" s="68">
        <v>9</v>
      </c>
      <c r="C279" s="68">
        <v>3</v>
      </c>
      <c r="D279" s="24">
        <f t="shared" si="4"/>
        <v>189</v>
      </c>
      <c r="E279" t="s">
        <v>53</v>
      </c>
    </row>
    <row r="280" spans="1:5">
      <c r="A280" s="68">
        <v>7</v>
      </c>
      <c r="B280" s="68">
        <v>3</v>
      </c>
      <c r="C280" s="68">
        <v>9</v>
      </c>
      <c r="D280" s="24">
        <f t="shared" si="4"/>
        <v>189</v>
      </c>
      <c r="E280" t="s">
        <v>56</v>
      </c>
    </row>
    <row r="281" spans="1:5">
      <c r="A281" s="68">
        <v>7</v>
      </c>
      <c r="B281" s="68">
        <v>10</v>
      </c>
      <c r="C281" s="68">
        <v>3</v>
      </c>
      <c r="D281" s="24">
        <f t="shared" si="4"/>
        <v>210</v>
      </c>
      <c r="E281" t="s">
        <v>53</v>
      </c>
    </row>
    <row r="282" spans="1:5">
      <c r="A282" s="68">
        <v>7</v>
      </c>
      <c r="B282" s="68">
        <v>6</v>
      </c>
      <c r="C282" s="68">
        <v>5</v>
      </c>
      <c r="D282" s="24">
        <f t="shared" si="4"/>
        <v>210</v>
      </c>
      <c r="E282" t="s">
        <v>53</v>
      </c>
    </row>
    <row r="283" spans="1:5">
      <c r="A283" s="68">
        <v>7</v>
      </c>
      <c r="B283" s="68">
        <v>5</v>
      </c>
      <c r="C283" s="68">
        <v>6</v>
      </c>
      <c r="D283" s="24">
        <f t="shared" si="4"/>
        <v>210</v>
      </c>
      <c r="E283" t="s">
        <v>53</v>
      </c>
    </row>
    <row r="284" spans="1:5">
      <c r="A284" s="68">
        <v>7</v>
      </c>
      <c r="B284" s="68">
        <v>3</v>
      </c>
      <c r="C284" s="68">
        <v>10</v>
      </c>
      <c r="D284" s="24">
        <f t="shared" si="4"/>
        <v>210</v>
      </c>
      <c r="E284" t="s">
        <v>56</v>
      </c>
    </row>
    <row r="285" spans="1:5">
      <c r="A285" s="68">
        <v>7</v>
      </c>
      <c r="B285" s="68">
        <v>8</v>
      </c>
      <c r="C285" s="68">
        <v>4</v>
      </c>
      <c r="D285" s="24">
        <f t="shared" si="4"/>
        <v>224</v>
      </c>
      <c r="E285" t="s">
        <v>53</v>
      </c>
    </row>
    <row r="286" spans="1:5">
      <c r="A286" s="68">
        <v>7</v>
      </c>
      <c r="B286" s="68">
        <v>4</v>
      </c>
      <c r="C286" s="68">
        <v>8</v>
      </c>
      <c r="D286" s="24">
        <f t="shared" si="4"/>
        <v>224</v>
      </c>
      <c r="E286" t="s">
        <v>53</v>
      </c>
    </row>
    <row r="287" spans="1:5">
      <c r="A287">
        <v>7</v>
      </c>
      <c r="B287">
        <v>6</v>
      </c>
      <c r="C287">
        <v>6</v>
      </c>
      <c r="D287" s="24">
        <f t="shared" si="4"/>
        <v>252</v>
      </c>
      <c r="E287" t="s">
        <v>53</v>
      </c>
    </row>
    <row r="288" spans="1:5">
      <c r="A288" s="68">
        <v>7</v>
      </c>
      <c r="B288" s="68">
        <v>10</v>
      </c>
      <c r="C288" s="68">
        <v>4</v>
      </c>
      <c r="D288" s="24">
        <f t="shared" si="4"/>
        <v>280</v>
      </c>
      <c r="E288" t="s">
        <v>53</v>
      </c>
    </row>
    <row r="289" spans="1:5">
      <c r="A289" s="68">
        <v>7</v>
      </c>
      <c r="B289" s="68">
        <v>8</v>
      </c>
      <c r="C289" s="68">
        <v>5</v>
      </c>
      <c r="D289" s="24">
        <f t="shared" si="4"/>
        <v>280</v>
      </c>
      <c r="E289" t="s">
        <v>53</v>
      </c>
    </row>
    <row r="290" spans="1:5">
      <c r="A290" s="68">
        <v>7</v>
      </c>
      <c r="B290" s="68">
        <v>5</v>
      </c>
      <c r="C290" s="68">
        <v>8</v>
      </c>
      <c r="D290" s="24">
        <f t="shared" si="4"/>
        <v>280</v>
      </c>
      <c r="E290" t="s">
        <v>53</v>
      </c>
    </row>
    <row r="291" spans="1:5">
      <c r="A291" s="68">
        <v>7</v>
      </c>
      <c r="B291" s="68">
        <v>4</v>
      </c>
      <c r="C291" s="68">
        <v>10</v>
      </c>
      <c r="D291" s="24">
        <f t="shared" si="4"/>
        <v>280</v>
      </c>
      <c r="E291" t="s">
        <v>53</v>
      </c>
    </row>
    <row r="292" spans="1:5">
      <c r="A292" s="68">
        <v>7</v>
      </c>
      <c r="B292" s="68">
        <v>8</v>
      </c>
      <c r="C292" s="68">
        <v>6</v>
      </c>
      <c r="D292" s="24">
        <f t="shared" si="4"/>
        <v>336</v>
      </c>
      <c r="E292" t="s">
        <v>53</v>
      </c>
    </row>
    <row r="293" spans="1:5">
      <c r="A293" s="68">
        <v>7</v>
      </c>
      <c r="B293" s="68">
        <v>6</v>
      </c>
      <c r="C293" s="68">
        <v>8</v>
      </c>
      <c r="D293" s="24">
        <f t="shared" si="4"/>
        <v>336</v>
      </c>
      <c r="E293" t="s">
        <v>53</v>
      </c>
    </row>
    <row r="294" spans="1:5">
      <c r="A294">
        <v>7</v>
      </c>
      <c r="B294">
        <v>7</v>
      </c>
      <c r="C294">
        <v>7</v>
      </c>
      <c r="D294" s="24">
        <f t="shared" si="4"/>
        <v>343</v>
      </c>
      <c r="E294" t="s">
        <v>53</v>
      </c>
    </row>
    <row r="295" spans="1:5">
      <c r="A295" s="68">
        <v>7</v>
      </c>
      <c r="B295" s="68">
        <v>10</v>
      </c>
      <c r="C295" s="68">
        <v>5</v>
      </c>
      <c r="D295" s="24">
        <f t="shared" si="4"/>
        <v>350</v>
      </c>
      <c r="E295" t="s">
        <v>53</v>
      </c>
    </row>
    <row r="296" spans="1:5">
      <c r="A296" s="68">
        <v>7</v>
      </c>
      <c r="B296" s="68">
        <v>5</v>
      </c>
      <c r="C296" s="68">
        <v>10</v>
      </c>
      <c r="D296" s="24">
        <f t="shared" si="4"/>
        <v>350</v>
      </c>
      <c r="E296" t="s">
        <v>53</v>
      </c>
    </row>
    <row r="297" spans="1:5">
      <c r="A297" s="68">
        <v>7</v>
      </c>
      <c r="B297" s="68">
        <v>9</v>
      </c>
      <c r="C297" s="68">
        <v>6</v>
      </c>
      <c r="D297" s="24">
        <f t="shared" si="4"/>
        <v>378</v>
      </c>
      <c r="E297" t="s">
        <v>53</v>
      </c>
    </row>
    <row r="298" spans="1:5">
      <c r="A298" s="68">
        <v>7</v>
      </c>
      <c r="B298" s="68">
        <v>6</v>
      </c>
      <c r="C298" s="68">
        <v>9</v>
      </c>
      <c r="D298" s="24">
        <f t="shared" si="4"/>
        <v>378</v>
      </c>
      <c r="E298" t="s">
        <v>53</v>
      </c>
    </row>
    <row r="299" spans="1:5">
      <c r="A299" s="68">
        <v>7</v>
      </c>
      <c r="B299" s="68">
        <v>10</v>
      </c>
      <c r="C299" s="68">
        <v>6</v>
      </c>
      <c r="D299" s="24">
        <f t="shared" si="4"/>
        <v>420</v>
      </c>
      <c r="E299" t="s">
        <v>53</v>
      </c>
    </row>
    <row r="300" spans="1:5">
      <c r="A300" s="68">
        <v>7</v>
      </c>
      <c r="B300" s="68">
        <v>6</v>
      </c>
      <c r="C300" s="68">
        <v>10</v>
      </c>
      <c r="D300" s="24">
        <f t="shared" si="4"/>
        <v>420</v>
      </c>
      <c r="E300" t="s">
        <v>53</v>
      </c>
    </row>
    <row r="301" spans="1:5">
      <c r="A301">
        <v>7</v>
      </c>
      <c r="B301">
        <v>8</v>
      </c>
      <c r="C301">
        <v>8</v>
      </c>
      <c r="D301" s="24">
        <f t="shared" si="4"/>
        <v>448</v>
      </c>
      <c r="E301" t="s">
        <v>53</v>
      </c>
    </row>
    <row r="302" spans="1:5">
      <c r="A302" s="68">
        <v>7</v>
      </c>
      <c r="B302" s="68">
        <v>9</v>
      </c>
      <c r="C302" s="68">
        <v>8</v>
      </c>
      <c r="D302" s="24">
        <f t="shared" si="4"/>
        <v>504</v>
      </c>
      <c r="E302" t="s">
        <v>53</v>
      </c>
    </row>
    <row r="303" spans="1:5">
      <c r="A303" s="68">
        <v>7</v>
      </c>
      <c r="B303" s="68">
        <v>8</v>
      </c>
      <c r="C303" s="68">
        <v>9</v>
      </c>
      <c r="D303" s="24">
        <f t="shared" si="4"/>
        <v>504</v>
      </c>
      <c r="E303" t="s">
        <v>53</v>
      </c>
    </row>
    <row r="304" spans="1:5">
      <c r="A304" s="68">
        <v>7</v>
      </c>
      <c r="B304" s="68">
        <v>10</v>
      </c>
      <c r="C304" s="68">
        <v>8</v>
      </c>
      <c r="D304" s="24">
        <f t="shared" si="4"/>
        <v>560</v>
      </c>
      <c r="E304" t="s">
        <v>53</v>
      </c>
    </row>
    <row r="305" spans="1:5">
      <c r="A305" s="68">
        <v>7</v>
      </c>
      <c r="B305" s="68">
        <v>8</v>
      </c>
      <c r="C305" s="68">
        <v>10</v>
      </c>
      <c r="D305" s="24">
        <f t="shared" si="4"/>
        <v>560</v>
      </c>
      <c r="E305" t="s">
        <v>53</v>
      </c>
    </row>
    <row r="306" spans="1:5">
      <c r="A306">
        <v>7</v>
      </c>
      <c r="B306">
        <v>9</v>
      </c>
      <c r="C306">
        <v>9</v>
      </c>
      <c r="D306" s="24">
        <f t="shared" si="4"/>
        <v>567</v>
      </c>
      <c r="E306" t="s">
        <v>53</v>
      </c>
    </row>
    <row r="307" spans="1:5">
      <c r="A307" s="68">
        <v>7</v>
      </c>
      <c r="B307" s="68">
        <v>10</v>
      </c>
      <c r="C307" s="68">
        <v>9</v>
      </c>
      <c r="D307" s="24">
        <f t="shared" si="4"/>
        <v>630</v>
      </c>
      <c r="E307" t="s">
        <v>53</v>
      </c>
    </row>
    <row r="308" spans="1:5">
      <c r="A308" s="68">
        <v>7</v>
      </c>
      <c r="B308" s="68">
        <v>9</v>
      </c>
      <c r="C308" s="68">
        <v>10</v>
      </c>
      <c r="D308" s="24">
        <f t="shared" si="4"/>
        <v>630</v>
      </c>
      <c r="E308" t="s">
        <v>53</v>
      </c>
    </row>
    <row r="309" spans="1:5">
      <c r="A309">
        <v>7</v>
      </c>
      <c r="B309">
        <v>10</v>
      </c>
      <c r="C309">
        <v>10</v>
      </c>
      <c r="D309" s="24">
        <f t="shared" si="4"/>
        <v>700</v>
      </c>
      <c r="E309" t="s">
        <v>53</v>
      </c>
    </row>
    <row r="310" spans="1:5">
      <c r="A310">
        <v>8</v>
      </c>
      <c r="B310">
        <v>1</v>
      </c>
      <c r="C310">
        <v>1</v>
      </c>
      <c r="D310" s="24">
        <f t="shared" si="4"/>
        <v>8</v>
      </c>
      <c r="E310" t="s">
        <v>52</v>
      </c>
    </row>
    <row r="311" spans="1:5">
      <c r="A311">
        <v>8</v>
      </c>
      <c r="B311">
        <v>2</v>
      </c>
      <c r="C311">
        <v>2</v>
      </c>
      <c r="D311" s="24">
        <f t="shared" si="4"/>
        <v>32</v>
      </c>
      <c r="E311" t="s">
        <v>56</v>
      </c>
    </row>
    <row r="312" spans="1:5">
      <c r="A312" s="68">
        <v>8</v>
      </c>
      <c r="B312" s="68">
        <v>7</v>
      </c>
      <c r="C312" s="68">
        <v>1</v>
      </c>
      <c r="D312" s="24">
        <f t="shared" si="4"/>
        <v>56</v>
      </c>
      <c r="E312" t="s">
        <v>53</v>
      </c>
    </row>
    <row r="313" spans="1:5">
      <c r="A313" s="68">
        <v>8</v>
      </c>
      <c r="B313" s="68">
        <v>1</v>
      </c>
      <c r="C313" s="68">
        <v>7</v>
      </c>
      <c r="D313" s="24">
        <f t="shared" si="4"/>
        <v>56</v>
      </c>
      <c r="E313" t="s">
        <v>52</v>
      </c>
    </row>
    <row r="314" spans="1:5">
      <c r="A314">
        <v>8</v>
      </c>
      <c r="B314">
        <v>3</v>
      </c>
      <c r="C314">
        <v>3</v>
      </c>
      <c r="D314" s="24">
        <f t="shared" si="4"/>
        <v>72</v>
      </c>
      <c r="E314" t="s">
        <v>56</v>
      </c>
    </row>
    <row r="315" spans="1:5">
      <c r="A315" s="68">
        <v>8</v>
      </c>
      <c r="B315" s="68">
        <v>5</v>
      </c>
      <c r="C315" s="68">
        <v>3</v>
      </c>
      <c r="D315" s="24">
        <f t="shared" si="4"/>
        <v>120</v>
      </c>
      <c r="E315" t="s">
        <v>53</v>
      </c>
    </row>
    <row r="316" spans="1:5">
      <c r="A316" s="68">
        <v>8</v>
      </c>
      <c r="B316" s="68">
        <v>3</v>
      </c>
      <c r="C316" s="68">
        <v>5</v>
      </c>
      <c r="D316" s="24">
        <f t="shared" si="4"/>
        <v>120</v>
      </c>
      <c r="E316" t="s">
        <v>56</v>
      </c>
    </row>
    <row r="317" spans="1:5">
      <c r="A317">
        <v>8</v>
      </c>
      <c r="B317">
        <v>4</v>
      </c>
      <c r="C317">
        <v>4</v>
      </c>
      <c r="D317" s="24">
        <f t="shared" si="4"/>
        <v>128</v>
      </c>
      <c r="E317" t="s">
        <v>53</v>
      </c>
    </row>
    <row r="318" spans="1:5">
      <c r="A318" s="68">
        <v>8</v>
      </c>
      <c r="B318" s="68">
        <v>7</v>
      </c>
      <c r="C318" s="68">
        <v>3</v>
      </c>
      <c r="D318" s="24">
        <f t="shared" si="4"/>
        <v>168</v>
      </c>
      <c r="E318" t="s">
        <v>53</v>
      </c>
    </row>
    <row r="319" spans="1:5">
      <c r="A319" s="68">
        <v>8</v>
      </c>
      <c r="B319" s="68">
        <v>3</v>
      </c>
      <c r="C319" s="68">
        <v>7</v>
      </c>
      <c r="D319" s="24">
        <f t="shared" si="4"/>
        <v>168</v>
      </c>
      <c r="E319" t="s">
        <v>56</v>
      </c>
    </row>
    <row r="320" spans="1:5">
      <c r="A320">
        <v>8</v>
      </c>
      <c r="B320">
        <v>5</v>
      </c>
      <c r="C320">
        <v>5</v>
      </c>
      <c r="D320" s="24">
        <f t="shared" si="4"/>
        <v>200</v>
      </c>
      <c r="E320" t="s">
        <v>53</v>
      </c>
    </row>
    <row r="321" spans="1:5">
      <c r="A321" s="68">
        <v>8</v>
      </c>
      <c r="B321" s="68">
        <v>7</v>
      </c>
      <c r="C321" s="68">
        <v>4</v>
      </c>
      <c r="D321" s="24">
        <f t="shared" si="4"/>
        <v>224</v>
      </c>
      <c r="E321" t="s">
        <v>53</v>
      </c>
    </row>
    <row r="322" spans="1:5">
      <c r="A322" s="68">
        <v>8</v>
      </c>
      <c r="B322" s="68">
        <v>4</v>
      </c>
      <c r="C322" s="68">
        <v>7</v>
      </c>
      <c r="D322" s="24">
        <f t="shared" si="4"/>
        <v>224</v>
      </c>
      <c r="E322" t="s">
        <v>53</v>
      </c>
    </row>
    <row r="323" spans="1:5">
      <c r="A323" s="68">
        <v>8</v>
      </c>
      <c r="B323" s="68">
        <v>10</v>
      </c>
      <c r="C323" s="68">
        <v>3</v>
      </c>
      <c r="D323" s="24">
        <f t="shared" si="4"/>
        <v>240</v>
      </c>
      <c r="E323" t="s">
        <v>53</v>
      </c>
    </row>
    <row r="324" spans="1:5">
      <c r="A324" s="68">
        <v>8</v>
      </c>
      <c r="B324" s="68">
        <v>6</v>
      </c>
      <c r="C324" s="68">
        <v>5</v>
      </c>
      <c r="D324" s="24">
        <f t="shared" si="4"/>
        <v>240</v>
      </c>
      <c r="E324" t="s">
        <v>53</v>
      </c>
    </row>
    <row r="325" spans="1:5">
      <c r="A325" s="68">
        <v>8</v>
      </c>
      <c r="B325" s="68">
        <v>5</v>
      </c>
      <c r="C325" s="68">
        <v>6</v>
      </c>
      <c r="D325" s="24">
        <f t="shared" si="4"/>
        <v>240</v>
      </c>
      <c r="E325" t="s">
        <v>53</v>
      </c>
    </row>
    <row r="326" spans="1:5">
      <c r="A326" s="68">
        <v>8</v>
      </c>
      <c r="B326" s="68">
        <v>3</v>
      </c>
      <c r="C326" s="68">
        <v>10</v>
      </c>
      <c r="D326" s="24">
        <f t="shared" si="4"/>
        <v>240</v>
      </c>
      <c r="E326" t="s">
        <v>56</v>
      </c>
    </row>
    <row r="327" spans="1:5">
      <c r="A327" s="68">
        <v>8</v>
      </c>
      <c r="B327" s="68">
        <v>7</v>
      </c>
      <c r="C327" s="68">
        <v>5</v>
      </c>
      <c r="D327" s="24">
        <f t="shared" ref="D327:D390" si="5">A327*B327*C327</f>
        <v>280</v>
      </c>
      <c r="E327" t="s">
        <v>53</v>
      </c>
    </row>
    <row r="328" spans="1:5">
      <c r="A328" s="68">
        <v>8</v>
      </c>
      <c r="B328" s="68">
        <v>5</v>
      </c>
      <c r="C328" s="68">
        <v>7</v>
      </c>
      <c r="D328" s="24">
        <f t="shared" si="5"/>
        <v>280</v>
      </c>
      <c r="E328" t="s">
        <v>53</v>
      </c>
    </row>
    <row r="329" spans="1:5">
      <c r="A329">
        <v>8</v>
      </c>
      <c r="B329">
        <v>6</v>
      </c>
      <c r="C329">
        <v>6</v>
      </c>
      <c r="D329" s="24">
        <f t="shared" si="5"/>
        <v>288</v>
      </c>
      <c r="E329" t="s">
        <v>53</v>
      </c>
    </row>
    <row r="330" spans="1:5">
      <c r="A330" s="68">
        <v>8</v>
      </c>
      <c r="B330" s="68">
        <v>7</v>
      </c>
      <c r="C330" s="68">
        <v>6</v>
      </c>
      <c r="D330" s="24">
        <f t="shared" si="5"/>
        <v>336</v>
      </c>
      <c r="E330" t="s">
        <v>53</v>
      </c>
    </row>
    <row r="331" spans="1:5">
      <c r="A331" s="68">
        <v>8</v>
      </c>
      <c r="B331" s="68">
        <v>6</v>
      </c>
      <c r="C331" s="68">
        <v>7</v>
      </c>
      <c r="D331" s="24">
        <f t="shared" si="5"/>
        <v>336</v>
      </c>
      <c r="E331" t="s">
        <v>53</v>
      </c>
    </row>
    <row r="332" spans="1:5">
      <c r="A332">
        <v>8</v>
      </c>
      <c r="B332">
        <v>7</v>
      </c>
      <c r="C332">
        <v>7</v>
      </c>
      <c r="D332" s="24">
        <f t="shared" si="5"/>
        <v>392</v>
      </c>
      <c r="E332" t="s">
        <v>53</v>
      </c>
    </row>
    <row r="333" spans="1:5">
      <c r="A333" s="68">
        <v>8</v>
      </c>
      <c r="B333" s="68">
        <v>9</v>
      </c>
      <c r="C333" s="68">
        <v>6</v>
      </c>
      <c r="D333" s="24">
        <f t="shared" si="5"/>
        <v>432</v>
      </c>
      <c r="E333" t="s">
        <v>53</v>
      </c>
    </row>
    <row r="334" spans="1:5">
      <c r="A334" s="68">
        <v>8</v>
      </c>
      <c r="B334" s="68">
        <v>6</v>
      </c>
      <c r="C334" s="68">
        <v>9</v>
      </c>
      <c r="D334" s="24">
        <f t="shared" si="5"/>
        <v>432</v>
      </c>
      <c r="E334" t="s">
        <v>53</v>
      </c>
    </row>
    <row r="335" spans="1:5">
      <c r="A335" s="68">
        <v>8</v>
      </c>
      <c r="B335" s="68">
        <v>10</v>
      </c>
      <c r="C335" s="68">
        <v>6</v>
      </c>
      <c r="D335" s="24">
        <f t="shared" si="5"/>
        <v>480</v>
      </c>
      <c r="E335" t="s">
        <v>53</v>
      </c>
    </row>
    <row r="336" spans="1:5">
      <c r="A336" s="68">
        <v>8</v>
      </c>
      <c r="B336" s="68">
        <v>6</v>
      </c>
      <c r="C336" s="68">
        <v>10</v>
      </c>
      <c r="D336" s="24">
        <f t="shared" si="5"/>
        <v>480</v>
      </c>
      <c r="E336" t="s">
        <v>53</v>
      </c>
    </row>
    <row r="337" spans="1:5">
      <c r="A337" s="68">
        <v>8</v>
      </c>
      <c r="B337" s="68">
        <v>9</v>
      </c>
      <c r="C337" s="68">
        <v>7</v>
      </c>
      <c r="D337" s="24">
        <f t="shared" si="5"/>
        <v>504</v>
      </c>
      <c r="E337" t="s">
        <v>53</v>
      </c>
    </row>
    <row r="338" spans="1:5">
      <c r="A338" s="68">
        <v>8</v>
      </c>
      <c r="B338" s="68">
        <v>7</v>
      </c>
      <c r="C338" s="68">
        <v>9</v>
      </c>
      <c r="D338" s="24">
        <f t="shared" si="5"/>
        <v>504</v>
      </c>
      <c r="E338" t="s">
        <v>53</v>
      </c>
    </row>
    <row r="339" spans="1:5">
      <c r="A339">
        <v>8</v>
      </c>
      <c r="B339">
        <v>8</v>
      </c>
      <c r="C339">
        <v>8</v>
      </c>
      <c r="D339" s="24">
        <f t="shared" si="5"/>
        <v>512</v>
      </c>
      <c r="E339" t="s">
        <v>53</v>
      </c>
    </row>
    <row r="340" spans="1:5">
      <c r="A340" s="68">
        <v>8</v>
      </c>
      <c r="B340" s="68">
        <v>10</v>
      </c>
      <c r="C340" s="68">
        <v>7</v>
      </c>
      <c r="D340" s="24">
        <f t="shared" si="5"/>
        <v>560</v>
      </c>
      <c r="E340" t="s">
        <v>53</v>
      </c>
    </row>
    <row r="341" spans="1:5">
      <c r="A341" s="68">
        <v>8</v>
      </c>
      <c r="B341" s="68">
        <v>7</v>
      </c>
      <c r="C341" s="68">
        <v>10</v>
      </c>
      <c r="D341" s="24">
        <f t="shared" si="5"/>
        <v>560</v>
      </c>
      <c r="E341" t="s">
        <v>53</v>
      </c>
    </row>
    <row r="342" spans="1:5">
      <c r="A342">
        <v>8</v>
      </c>
      <c r="B342">
        <v>9</v>
      </c>
      <c r="C342">
        <v>9</v>
      </c>
      <c r="D342" s="24">
        <f t="shared" si="5"/>
        <v>648</v>
      </c>
      <c r="E342" t="s">
        <v>53</v>
      </c>
    </row>
    <row r="343" spans="1:5">
      <c r="A343" s="68">
        <v>8</v>
      </c>
      <c r="B343" s="68">
        <v>10</v>
      </c>
      <c r="C343" s="68">
        <v>9</v>
      </c>
      <c r="D343" s="24">
        <f t="shared" si="5"/>
        <v>720</v>
      </c>
      <c r="E343" t="s">
        <v>53</v>
      </c>
    </row>
    <row r="344" spans="1:5">
      <c r="A344" s="68">
        <v>8</v>
      </c>
      <c r="B344" s="68">
        <v>9</v>
      </c>
      <c r="C344" s="68">
        <v>10</v>
      </c>
      <c r="D344" s="24">
        <f t="shared" si="5"/>
        <v>720</v>
      </c>
      <c r="E344" t="s">
        <v>53</v>
      </c>
    </row>
    <row r="345" spans="1:5">
      <c r="A345">
        <v>8</v>
      </c>
      <c r="B345">
        <v>10</v>
      </c>
      <c r="C345">
        <v>10</v>
      </c>
      <c r="D345" s="24">
        <f t="shared" si="5"/>
        <v>800</v>
      </c>
      <c r="E345" t="s">
        <v>53</v>
      </c>
    </row>
    <row r="346" spans="1:5">
      <c r="A346">
        <v>9</v>
      </c>
      <c r="B346">
        <v>1</v>
      </c>
      <c r="C346">
        <v>1</v>
      </c>
      <c r="D346" s="24">
        <f t="shared" si="5"/>
        <v>9</v>
      </c>
      <c r="E346" t="s">
        <v>54</v>
      </c>
    </row>
    <row r="347" spans="1:5">
      <c r="A347">
        <v>9</v>
      </c>
      <c r="B347">
        <v>2</v>
      </c>
      <c r="C347">
        <v>2</v>
      </c>
      <c r="D347" s="24">
        <f t="shared" si="5"/>
        <v>36</v>
      </c>
      <c r="E347" t="s">
        <v>54</v>
      </c>
    </row>
    <row r="348" spans="1:5">
      <c r="A348">
        <v>9</v>
      </c>
      <c r="B348">
        <v>3</v>
      </c>
      <c r="C348">
        <v>3</v>
      </c>
      <c r="D348" s="24">
        <f t="shared" si="5"/>
        <v>81</v>
      </c>
      <c r="E348" t="s">
        <v>54</v>
      </c>
    </row>
    <row r="349" spans="1:5">
      <c r="A349" s="68">
        <v>9</v>
      </c>
      <c r="B349" s="68">
        <v>7</v>
      </c>
      <c r="C349" s="68">
        <v>2</v>
      </c>
      <c r="D349" s="24">
        <f t="shared" si="5"/>
        <v>126</v>
      </c>
      <c r="E349" t="s">
        <v>54</v>
      </c>
    </row>
    <row r="350" spans="1:5">
      <c r="A350" s="68">
        <v>9</v>
      </c>
      <c r="B350" s="68">
        <v>2</v>
      </c>
      <c r="C350" s="68">
        <v>7</v>
      </c>
      <c r="D350" s="24">
        <f t="shared" si="5"/>
        <v>126</v>
      </c>
      <c r="E350" t="s">
        <v>54</v>
      </c>
    </row>
    <row r="351" spans="1:5">
      <c r="A351" s="68">
        <v>9</v>
      </c>
      <c r="B351" s="68">
        <v>5</v>
      </c>
      <c r="C351" s="68">
        <v>3</v>
      </c>
      <c r="D351" s="24">
        <f t="shared" si="5"/>
        <v>135</v>
      </c>
      <c r="E351" t="s">
        <v>54</v>
      </c>
    </row>
    <row r="352" spans="1:5">
      <c r="A352" s="68">
        <v>9</v>
      </c>
      <c r="B352" s="68">
        <v>3</v>
      </c>
      <c r="C352" s="68">
        <v>5</v>
      </c>
      <c r="D352" s="24">
        <f t="shared" si="5"/>
        <v>135</v>
      </c>
      <c r="E352" t="s">
        <v>54</v>
      </c>
    </row>
    <row r="353" spans="1:5">
      <c r="A353">
        <v>9</v>
      </c>
      <c r="B353">
        <v>4</v>
      </c>
      <c r="C353">
        <v>4</v>
      </c>
      <c r="D353" s="24">
        <f t="shared" si="5"/>
        <v>144</v>
      </c>
      <c r="E353" t="s">
        <v>54</v>
      </c>
    </row>
    <row r="354" spans="1:5">
      <c r="A354" s="68">
        <v>9</v>
      </c>
      <c r="B354" s="68">
        <v>7</v>
      </c>
      <c r="C354" s="68">
        <v>3</v>
      </c>
      <c r="D354" s="24">
        <f t="shared" si="5"/>
        <v>189</v>
      </c>
      <c r="E354" t="s">
        <v>54</v>
      </c>
    </row>
    <row r="355" spans="1:5">
      <c r="A355" s="68">
        <v>9</v>
      </c>
      <c r="B355" s="68">
        <v>3</v>
      </c>
      <c r="C355" s="68">
        <v>7</v>
      </c>
      <c r="D355" s="24">
        <f t="shared" si="5"/>
        <v>189</v>
      </c>
      <c r="E355" t="s">
        <v>54</v>
      </c>
    </row>
    <row r="356" spans="1:5">
      <c r="A356">
        <v>9</v>
      </c>
      <c r="B356">
        <v>5</v>
      </c>
      <c r="C356">
        <v>5</v>
      </c>
      <c r="D356" s="24">
        <f t="shared" si="5"/>
        <v>225</v>
      </c>
      <c r="E356" t="s">
        <v>54</v>
      </c>
    </row>
    <row r="357" spans="1:5">
      <c r="A357" s="68">
        <v>9</v>
      </c>
      <c r="B357" s="68">
        <v>10</v>
      </c>
      <c r="C357" s="68">
        <v>3</v>
      </c>
      <c r="D357" s="24">
        <f t="shared" si="5"/>
        <v>270</v>
      </c>
      <c r="E357" t="s">
        <v>54</v>
      </c>
    </row>
    <row r="358" spans="1:5">
      <c r="A358" s="68">
        <v>9</v>
      </c>
      <c r="B358" s="68">
        <v>6</v>
      </c>
      <c r="C358" s="68">
        <v>5</v>
      </c>
      <c r="D358" s="24">
        <f t="shared" si="5"/>
        <v>270</v>
      </c>
      <c r="E358" t="s">
        <v>54</v>
      </c>
    </row>
    <row r="359" spans="1:5">
      <c r="A359" s="68">
        <v>9</v>
      </c>
      <c r="B359" s="68">
        <v>5</v>
      </c>
      <c r="C359" s="68">
        <v>6</v>
      </c>
      <c r="D359" s="24">
        <f t="shared" si="5"/>
        <v>270</v>
      </c>
      <c r="E359" t="s">
        <v>54</v>
      </c>
    </row>
    <row r="360" spans="1:5">
      <c r="A360" s="68">
        <v>9</v>
      </c>
      <c r="B360" s="68">
        <v>3</v>
      </c>
      <c r="C360" s="68">
        <v>10</v>
      </c>
      <c r="D360" s="24">
        <f t="shared" si="5"/>
        <v>270</v>
      </c>
      <c r="E360" t="s">
        <v>54</v>
      </c>
    </row>
    <row r="361" spans="1:5">
      <c r="A361">
        <v>9</v>
      </c>
      <c r="B361">
        <v>7</v>
      </c>
      <c r="C361" s="24">
        <v>5</v>
      </c>
      <c r="D361" s="24">
        <f t="shared" si="5"/>
        <v>315</v>
      </c>
      <c r="E361" t="s">
        <v>54</v>
      </c>
    </row>
    <row r="362" spans="1:5">
      <c r="A362">
        <v>9</v>
      </c>
      <c r="B362">
        <v>6</v>
      </c>
      <c r="C362">
        <v>6</v>
      </c>
      <c r="D362" s="24">
        <f t="shared" si="5"/>
        <v>324</v>
      </c>
      <c r="E362" t="s">
        <v>54</v>
      </c>
    </row>
    <row r="363" spans="1:5">
      <c r="A363" s="68">
        <v>9</v>
      </c>
      <c r="B363" s="68">
        <v>7</v>
      </c>
      <c r="C363" s="68">
        <v>6</v>
      </c>
      <c r="D363" s="24">
        <f t="shared" si="5"/>
        <v>378</v>
      </c>
      <c r="E363" t="s">
        <v>54</v>
      </c>
    </row>
    <row r="364" spans="1:5">
      <c r="A364" s="68">
        <v>9</v>
      </c>
      <c r="B364" s="68">
        <v>6</v>
      </c>
      <c r="C364" s="68">
        <v>7</v>
      </c>
      <c r="D364" s="24">
        <f t="shared" si="5"/>
        <v>378</v>
      </c>
      <c r="E364" t="s">
        <v>54</v>
      </c>
    </row>
    <row r="365" spans="1:5">
      <c r="A365" s="68">
        <v>9</v>
      </c>
      <c r="B365" s="68">
        <v>8</v>
      </c>
      <c r="C365" s="68">
        <v>6</v>
      </c>
      <c r="D365" s="24">
        <f t="shared" si="5"/>
        <v>432</v>
      </c>
      <c r="E365" t="s">
        <v>54</v>
      </c>
    </row>
    <row r="366" spans="1:5">
      <c r="A366" s="68">
        <v>9</v>
      </c>
      <c r="B366" s="68">
        <v>6</v>
      </c>
      <c r="C366" s="68">
        <v>8</v>
      </c>
      <c r="D366" s="24">
        <f t="shared" si="5"/>
        <v>432</v>
      </c>
      <c r="E366" t="s">
        <v>54</v>
      </c>
    </row>
    <row r="367" spans="1:5">
      <c r="A367">
        <v>9</v>
      </c>
      <c r="B367">
        <v>7</v>
      </c>
      <c r="C367">
        <v>7</v>
      </c>
      <c r="D367" s="24">
        <f t="shared" si="5"/>
        <v>441</v>
      </c>
      <c r="E367" t="s">
        <v>54</v>
      </c>
    </row>
    <row r="368" spans="1:5">
      <c r="A368" s="68">
        <v>9</v>
      </c>
      <c r="B368" s="68">
        <v>10</v>
      </c>
      <c r="C368" s="68">
        <v>5</v>
      </c>
      <c r="D368" s="24">
        <f t="shared" si="5"/>
        <v>450</v>
      </c>
      <c r="E368" t="s">
        <v>54</v>
      </c>
    </row>
    <row r="369" spans="1:5">
      <c r="A369" s="68">
        <v>9</v>
      </c>
      <c r="B369" s="68">
        <v>5</v>
      </c>
      <c r="C369" s="68">
        <v>10</v>
      </c>
      <c r="D369" s="24">
        <f t="shared" si="5"/>
        <v>450</v>
      </c>
      <c r="E369" t="s">
        <v>54</v>
      </c>
    </row>
    <row r="370" spans="1:5">
      <c r="A370" s="68">
        <v>9</v>
      </c>
      <c r="B370" s="68">
        <v>8</v>
      </c>
      <c r="C370" s="68">
        <v>7</v>
      </c>
      <c r="D370" s="24">
        <f t="shared" si="5"/>
        <v>504</v>
      </c>
      <c r="E370" t="s">
        <v>54</v>
      </c>
    </row>
    <row r="371" spans="1:5">
      <c r="A371" s="68">
        <v>9</v>
      </c>
      <c r="B371" s="68">
        <v>7</v>
      </c>
      <c r="C371" s="68">
        <v>8</v>
      </c>
      <c r="D371" s="24">
        <f t="shared" si="5"/>
        <v>504</v>
      </c>
      <c r="E371" t="s">
        <v>54</v>
      </c>
    </row>
    <row r="372" spans="1:5">
      <c r="A372" s="68">
        <v>9</v>
      </c>
      <c r="B372" s="68">
        <v>10</v>
      </c>
      <c r="C372" s="68">
        <v>6</v>
      </c>
      <c r="D372" s="24">
        <f t="shared" si="5"/>
        <v>540</v>
      </c>
      <c r="E372" t="s">
        <v>54</v>
      </c>
    </row>
    <row r="373" spans="1:5">
      <c r="A373" s="68">
        <v>9</v>
      </c>
      <c r="B373" s="68">
        <v>6</v>
      </c>
      <c r="C373" s="68">
        <v>10</v>
      </c>
      <c r="D373" s="24">
        <f t="shared" si="5"/>
        <v>540</v>
      </c>
      <c r="E373" t="s">
        <v>54</v>
      </c>
    </row>
    <row r="374" spans="1:5">
      <c r="A374">
        <v>9</v>
      </c>
      <c r="B374">
        <v>8</v>
      </c>
      <c r="C374">
        <v>8</v>
      </c>
      <c r="D374" s="24">
        <f t="shared" si="5"/>
        <v>576</v>
      </c>
      <c r="E374" t="s">
        <v>54</v>
      </c>
    </row>
    <row r="375" spans="1:5">
      <c r="A375" s="68">
        <v>9</v>
      </c>
      <c r="B375" s="68">
        <v>10</v>
      </c>
      <c r="C375" s="68">
        <v>7</v>
      </c>
      <c r="D375" s="24">
        <f t="shared" si="5"/>
        <v>630</v>
      </c>
      <c r="E375" t="s">
        <v>54</v>
      </c>
    </row>
    <row r="376" spans="1:5">
      <c r="A376" s="68">
        <v>9</v>
      </c>
      <c r="B376" s="68">
        <v>7</v>
      </c>
      <c r="C376" s="68">
        <v>10</v>
      </c>
      <c r="D376" s="24">
        <f t="shared" si="5"/>
        <v>630</v>
      </c>
      <c r="E376" t="s">
        <v>54</v>
      </c>
    </row>
    <row r="377" spans="1:5">
      <c r="A377" s="68">
        <v>9</v>
      </c>
      <c r="B377" s="68">
        <v>10</v>
      </c>
      <c r="C377" s="68">
        <v>8</v>
      </c>
      <c r="D377" s="24">
        <f t="shared" si="5"/>
        <v>720</v>
      </c>
      <c r="E377" t="s">
        <v>54</v>
      </c>
    </row>
    <row r="378" spans="1:5">
      <c r="A378" s="68">
        <v>9</v>
      </c>
      <c r="B378" s="68">
        <v>8</v>
      </c>
      <c r="C378" s="68">
        <v>10</v>
      </c>
      <c r="D378" s="24">
        <f t="shared" si="5"/>
        <v>720</v>
      </c>
      <c r="E378" t="s">
        <v>54</v>
      </c>
    </row>
    <row r="379" spans="1:5">
      <c r="A379">
        <v>9</v>
      </c>
      <c r="B379">
        <v>9</v>
      </c>
      <c r="C379">
        <v>9</v>
      </c>
      <c r="D379" s="24">
        <f t="shared" si="5"/>
        <v>729</v>
      </c>
      <c r="E379" t="s">
        <v>54</v>
      </c>
    </row>
    <row r="380" spans="1:5">
      <c r="A380">
        <v>9</v>
      </c>
      <c r="B380">
        <v>10</v>
      </c>
      <c r="C380">
        <v>10</v>
      </c>
      <c r="D380" s="24">
        <f t="shared" si="5"/>
        <v>900</v>
      </c>
      <c r="E380" t="s">
        <v>54</v>
      </c>
    </row>
    <row r="381" spans="1:5">
      <c r="A381">
        <v>10</v>
      </c>
      <c r="B381">
        <v>1</v>
      </c>
      <c r="C381">
        <v>1</v>
      </c>
      <c r="D381" s="24">
        <f t="shared" si="5"/>
        <v>10</v>
      </c>
      <c r="E381" t="s">
        <v>54</v>
      </c>
    </row>
    <row r="382" spans="1:5">
      <c r="A382" s="68">
        <v>10</v>
      </c>
      <c r="B382" s="68">
        <v>3</v>
      </c>
      <c r="C382" s="68">
        <v>1</v>
      </c>
      <c r="D382" s="24">
        <f t="shared" si="5"/>
        <v>30</v>
      </c>
      <c r="E382" t="s">
        <v>54</v>
      </c>
    </row>
    <row r="383" spans="1:5">
      <c r="A383" s="68">
        <v>10</v>
      </c>
      <c r="B383" s="68">
        <v>1</v>
      </c>
      <c r="C383" s="68">
        <v>3</v>
      </c>
      <c r="D383" s="24">
        <f t="shared" si="5"/>
        <v>30</v>
      </c>
      <c r="E383" t="s">
        <v>54</v>
      </c>
    </row>
    <row r="384" spans="1:5">
      <c r="A384">
        <v>10</v>
      </c>
      <c r="B384">
        <v>2</v>
      </c>
      <c r="C384">
        <v>2</v>
      </c>
      <c r="D384" s="24">
        <f t="shared" si="5"/>
        <v>40</v>
      </c>
      <c r="E384" t="s">
        <v>54</v>
      </c>
    </row>
    <row r="385" spans="1:5">
      <c r="A385" s="68">
        <v>10</v>
      </c>
      <c r="B385" s="68">
        <v>6</v>
      </c>
      <c r="C385" s="68">
        <v>1</v>
      </c>
      <c r="D385" s="24">
        <f t="shared" si="5"/>
        <v>60</v>
      </c>
      <c r="E385" t="s">
        <v>54</v>
      </c>
    </row>
    <row r="386" spans="1:5">
      <c r="A386" s="68">
        <v>10</v>
      </c>
      <c r="B386" s="68">
        <v>3</v>
      </c>
      <c r="C386" s="68">
        <v>2</v>
      </c>
      <c r="D386" s="24">
        <f t="shared" si="5"/>
        <v>60</v>
      </c>
      <c r="E386" t="s">
        <v>54</v>
      </c>
    </row>
    <row r="387" spans="1:5">
      <c r="A387" s="68">
        <v>10</v>
      </c>
      <c r="B387" s="68">
        <v>2</v>
      </c>
      <c r="C387" s="68">
        <v>3</v>
      </c>
      <c r="D387" s="24">
        <f t="shared" si="5"/>
        <v>60</v>
      </c>
      <c r="E387" t="s">
        <v>54</v>
      </c>
    </row>
    <row r="388" spans="1:5">
      <c r="A388" s="68">
        <v>10</v>
      </c>
      <c r="B388" s="68">
        <v>1</v>
      </c>
      <c r="C388" s="68">
        <v>6</v>
      </c>
      <c r="D388" s="24">
        <f t="shared" si="5"/>
        <v>60</v>
      </c>
      <c r="E388" t="s">
        <v>54</v>
      </c>
    </row>
    <row r="389" spans="1:5">
      <c r="A389" s="68">
        <v>10</v>
      </c>
      <c r="B389" s="68">
        <v>7</v>
      </c>
      <c r="C389" s="68">
        <v>1</v>
      </c>
      <c r="D389" s="24">
        <f t="shared" si="5"/>
        <v>70</v>
      </c>
      <c r="E389" t="s">
        <v>54</v>
      </c>
    </row>
    <row r="390" spans="1:5">
      <c r="A390" s="68">
        <v>10</v>
      </c>
      <c r="B390" s="68">
        <v>1</v>
      </c>
      <c r="C390" s="68">
        <v>7</v>
      </c>
      <c r="D390" s="24">
        <f t="shared" si="5"/>
        <v>70</v>
      </c>
      <c r="E390" t="s">
        <v>54</v>
      </c>
    </row>
    <row r="391" spans="1:5">
      <c r="A391">
        <v>10</v>
      </c>
      <c r="B391">
        <v>3</v>
      </c>
      <c r="C391">
        <v>3</v>
      </c>
      <c r="D391" s="24">
        <f t="shared" ref="D391:D430" si="6">A391*B391*C391</f>
        <v>90</v>
      </c>
      <c r="E391" t="s">
        <v>54</v>
      </c>
    </row>
    <row r="392" spans="1:5">
      <c r="A392" s="68">
        <v>10</v>
      </c>
      <c r="B392" s="68">
        <v>6</v>
      </c>
      <c r="C392" s="68">
        <v>2</v>
      </c>
      <c r="D392" s="24">
        <f t="shared" si="6"/>
        <v>120</v>
      </c>
      <c r="E392" t="s">
        <v>54</v>
      </c>
    </row>
    <row r="393" spans="1:5">
      <c r="A393" s="68">
        <v>10</v>
      </c>
      <c r="B393" s="68">
        <v>4</v>
      </c>
      <c r="C393" s="68">
        <v>3</v>
      </c>
      <c r="D393" s="24">
        <f t="shared" si="6"/>
        <v>120</v>
      </c>
      <c r="E393" t="s">
        <v>54</v>
      </c>
    </row>
    <row r="394" spans="1:5">
      <c r="A394" s="68">
        <v>10</v>
      </c>
      <c r="B394" s="68">
        <v>3</v>
      </c>
      <c r="C394" s="68">
        <v>4</v>
      </c>
      <c r="D394" s="24">
        <f t="shared" si="6"/>
        <v>120</v>
      </c>
      <c r="E394" t="s">
        <v>54</v>
      </c>
    </row>
    <row r="395" spans="1:5">
      <c r="A395" s="68">
        <v>10</v>
      </c>
      <c r="B395" s="68">
        <v>2</v>
      </c>
      <c r="C395" s="68">
        <v>6</v>
      </c>
      <c r="D395" s="24">
        <f t="shared" si="6"/>
        <v>120</v>
      </c>
      <c r="E395" t="s">
        <v>54</v>
      </c>
    </row>
    <row r="396" spans="1:5">
      <c r="A396" s="68">
        <v>10</v>
      </c>
      <c r="B396" s="68">
        <v>7</v>
      </c>
      <c r="C396" s="68">
        <v>2</v>
      </c>
      <c r="D396" s="24">
        <f t="shared" si="6"/>
        <v>140</v>
      </c>
      <c r="E396" t="s">
        <v>54</v>
      </c>
    </row>
    <row r="397" spans="1:5">
      <c r="A397" s="68">
        <v>10</v>
      </c>
      <c r="B397" s="68">
        <v>2</v>
      </c>
      <c r="C397" s="68">
        <v>7</v>
      </c>
      <c r="D397" s="24">
        <f t="shared" si="6"/>
        <v>140</v>
      </c>
      <c r="E397" t="s">
        <v>54</v>
      </c>
    </row>
    <row r="398" spans="1:5">
      <c r="A398">
        <v>10</v>
      </c>
      <c r="B398">
        <v>4</v>
      </c>
      <c r="C398">
        <v>4</v>
      </c>
      <c r="D398" s="24">
        <f t="shared" si="6"/>
        <v>160</v>
      </c>
      <c r="E398" t="s">
        <v>54</v>
      </c>
    </row>
    <row r="399" spans="1:5">
      <c r="A399" s="68">
        <v>10</v>
      </c>
      <c r="B399" s="68">
        <v>7</v>
      </c>
      <c r="C399" s="68">
        <v>3</v>
      </c>
      <c r="D399" s="24">
        <f t="shared" si="6"/>
        <v>210</v>
      </c>
      <c r="E399" t="s">
        <v>54</v>
      </c>
    </row>
    <row r="400" spans="1:5">
      <c r="A400" s="68">
        <v>10</v>
      </c>
      <c r="B400" s="68">
        <v>3</v>
      </c>
      <c r="C400" s="68">
        <v>7</v>
      </c>
      <c r="D400" s="24">
        <f t="shared" si="6"/>
        <v>210</v>
      </c>
      <c r="E400" t="s">
        <v>54</v>
      </c>
    </row>
    <row r="401" spans="1:5">
      <c r="A401" s="68">
        <v>10</v>
      </c>
      <c r="B401" s="68">
        <v>8</v>
      </c>
      <c r="C401" s="68">
        <v>3</v>
      </c>
      <c r="D401" s="24">
        <f t="shared" si="6"/>
        <v>240</v>
      </c>
      <c r="E401" t="s">
        <v>54</v>
      </c>
    </row>
    <row r="402" spans="1:5">
      <c r="A402" s="68">
        <v>10</v>
      </c>
      <c r="B402" s="68">
        <v>6</v>
      </c>
      <c r="C402" s="68">
        <v>4</v>
      </c>
      <c r="D402" s="24">
        <f t="shared" si="6"/>
        <v>240</v>
      </c>
      <c r="E402" t="s">
        <v>54</v>
      </c>
    </row>
    <row r="403" spans="1:5">
      <c r="A403" s="68">
        <v>10</v>
      </c>
      <c r="B403" s="68">
        <v>4</v>
      </c>
      <c r="C403" s="68">
        <v>6</v>
      </c>
      <c r="D403" s="24">
        <f t="shared" si="6"/>
        <v>240</v>
      </c>
      <c r="E403" t="s">
        <v>54</v>
      </c>
    </row>
    <row r="404" spans="1:5">
      <c r="A404" s="68">
        <v>10</v>
      </c>
      <c r="B404" s="68">
        <v>3</v>
      </c>
      <c r="C404" s="68">
        <v>8</v>
      </c>
      <c r="D404" s="24">
        <f t="shared" si="6"/>
        <v>240</v>
      </c>
      <c r="E404" t="s">
        <v>54</v>
      </c>
    </row>
    <row r="405" spans="1:5">
      <c r="A405">
        <v>10</v>
      </c>
      <c r="B405">
        <v>5</v>
      </c>
      <c r="C405">
        <v>5</v>
      </c>
      <c r="D405" s="24">
        <f t="shared" si="6"/>
        <v>250</v>
      </c>
      <c r="E405" t="s">
        <v>54</v>
      </c>
    </row>
    <row r="406" spans="1:5">
      <c r="A406" s="68">
        <v>10</v>
      </c>
      <c r="B406" s="68">
        <v>9</v>
      </c>
      <c r="C406" s="68">
        <v>3</v>
      </c>
      <c r="D406" s="24">
        <f t="shared" si="6"/>
        <v>270</v>
      </c>
      <c r="E406" t="s">
        <v>54</v>
      </c>
    </row>
    <row r="407" spans="1:5">
      <c r="A407" s="68">
        <v>10</v>
      </c>
      <c r="B407" s="68">
        <v>3</v>
      </c>
      <c r="C407" s="68">
        <v>9</v>
      </c>
      <c r="D407" s="24">
        <f t="shared" si="6"/>
        <v>270</v>
      </c>
      <c r="E407" t="s">
        <v>54</v>
      </c>
    </row>
    <row r="408" spans="1:5">
      <c r="A408" s="68">
        <v>10</v>
      </c>
      <c r="B408" s="68">
        <v>7</v>
      </c>
      <c r="C408" s="68">
        <v>4</v>
      </c>
      <c r="D408" s="24">
        <f t="shared" si="6"/>
        <v>280</v>
      </c>
      <c r="E408" t="s">
        <v>54</v>
      </c>
    </row>
    <row r="409" spans="1:5">
      <c r="A409" s="68">
        <v>10</v>
      </c>
      <c r="B409" s="68">
        <v>4</v>
      </c>
      <c r="C409" s="68">
        <v>7</v>
      </c>
      <c r="D409" s="24">
        <f t="shared" si="6"/>
        <v>280</v>
      </c>
      <c r="E409" t="s">
        <v>54</v>
      </c>
    </row>
    <row r="410" spans="1:5">
      <c r="A410" s="68">
        <v>10</v>
      </c>
      <c r="B410" s="68">
        <v>7</v>
      </c>
      <c r="C410" s="68">
        <v>5</v>
      </c>
      <c r="D410" s="24">
        <f t="shared" si="6"/>
        <v>350</v>
      </c>
      <c r="E410" t="s">
        <v>54</v>
      </c>
    </row>
    <row r="411" spans="1:5">
      <c r="A411" s="68">
        <v>10</v>
      </c>
      <c r="B411" s="68">
        <v>5</v>
      </c>
      <c r="C411" s="68">
        <v>7</v>
      </c>
      <c r="D411" s="24">
        <f t="shared" si="6"/>
        <v>350</v>
      </c>
      <c r="E411" t="s">
        <v>54</v>
      </c>
    </row>
    <row r="412" spans="1:5">
      <c r="A412">
        <v>10</v>
      </c>
      <c r="B412">
        <v>6</v>
      </c>
      <c r="C412">
        <v>6</v>
      </c>
      <c r="D412" s="24">
        <f t="shared" si="6"/>
        <v>360</v>
      </c>
      <c r="E412" t="s">
        <v>54</v>
      </c>
    </row>
    <row r="413" spans="1:5">
      <c r="A413" s="68">
        <v>10</v>
      </c>
      <c r="B413" s="68">
        <v>7</v>
      </c>
      <c r="C413" s="68">
        <v>6</v>
      </c>
      <c r="D413" s="24">
        <f t="shared" si="6"/>
        <v>420</v>
      </c>
      <c r="E413" t="s">
        <v>54</v>
      </c>
    </row>
    <row r="414" spans="1:5">
      <c r="A414" s="68">
        <v>10</v>
      </c>
      <c r="B414" s="68">
        <v>6</v>
      </c>
      <c r="C414" s="68">
        <v>7</v>
      </c>
      <c r="D414" s="24">
        <f t="shared" si="6"/>
        <v>420</v>
      </c>
      <c r="E414" t="s">
        <v>54</v>
      </c>
    </row>
    <row r="415" spans="1:5">
      <c r="A415" s="68">
        <v>10</v>
      </c>
      <c r="B415" s="68">
        <v>9</v>
      </c>
      <c r="C415" s="68">
        <v>5</v>
      </c>
      <c r="D415" s="24">
        <f t="shared" si="6"/>
        <v>450</v>
      </c>
      <c r="E415" t="s">
        <v>54</v>
      </c>
    </row>
    <row r="416" spans="1:5">
      <c r="A416" s="68">
        <v>10</v>
      </c>
      <c r="B416" s="68">
        <v>5</v>
      </c>
      <c r="C416" s="68">
        <v>9</v>
      </c>
      <c r="D416" s="24">
        <f t="shared" si="6"/>
        <v>450</v>
      </c>
      <c r="E416" t="s">
        <v>54</v>
      </c>
    </row>
    <row r="417" spans="1:5">
      <c r="A417" s="68">
        <v>10</v>
      </c>
      <c r="B417" s="68">
        <v>8</v>
      </c>
      <c r="C417" s="68">
        <v>6</v>
      </c>
      <c r="D417" s="24">
        <f t="shared" si="6"/>
        <v>480</v>
      </c>
      <c r="E417" t="s">
        <v>54</v>
      </c>
    </row>
    <row r="418" spans="1:5">
      <c r="A418" s="68">
        <v>10</v>
      </c>
      <c r="B418" s="68">
        <v>6</v>
      </c>
      <c r="C418" s="68">
        <v>8</v>
      </c>
      <c r="D418" s="24">
        <f t="shared" si="6"/>
        <v>480</v>
      </c>
      <c r="E418" t="s">
        <v>54</v>
      </c>
    </row>
    <row r="419" spans="1:5">
      <c r="A419">
        <v>10</v>
      </c>
      <c r="B419">
        <v>7</v>
      </c>
      <c r="C419">
        <v>7</v>
      </c>
      <c r="D419" s="24">
        <f t="shared" si="6"/>
        <v>490</v>
      </c>
      <c r="E419" t="s">
        <v>54</v>
      </c>
    </row>
    <row r="420" spans="1:5">
      <c r="A420" s="68">
        <v>10</v>
      </c>
      <c r="B420" s="68">
        <v>9</v>
      </c>
      <c r="C420" s="68">
        <v>6</v>
      </c>
      <c r="D420" s="24">
        <f t="shared" si="6"/>
        <v>540</v>
      </c>
      <c r="E420" t="s">
        <v>54</v>
      </c>
    </row>
    <row r="421" spans="1:5">
      <c r="A421" s="68">
        <v>10</v>
      </c>
      <c r="B421" s="68">
        <v>6</v>
      </c>
      <c r="C421" s="68">
        <v>9</v>
      </c>
      <c r="D421" s="24">
        <f t="shared" si="6"/>
        <v>540</v>
      </c>
      <c r="E421" t="s">
        <v>54</v>
      </c>
    </row>
    <row r="422" spans="1:5">
      <c r="A422" s="68">
        <v>10</v>
      </c>
      <c r="B422" s="68">
        <v>8</v>
      </c>
      <c r="C422" s="68">
        <v>7</v>
      </c>
      <c r="D422" s="24">
        <f t="shared" si="6"/>
        <v>560</v>
      </c>
      <c r="E422" t="s">
        <v>54</v>
      </c>
    </row>
    <row r="423" spans="1:5">
      <c r="A423" s="68">
        <v>10</v>
      </c>
      <c r="B423" s="68">
        <v>7</v>
      </c>
      <c r="C423" s="68">
        <v>8</v>
      </c>
      <c r="D423" s="24">
        <f t="shared" si="6"/>
        <v>560</v>
      </c>
      <c r="E423" t="s">
        <v>54</v>
      </c>
    </row>
    <row r="424" spans="1:5">
      <c r="A424" s="68">
        <v>10</v>
      </c>
      <c r="B424" s="68">
        <v>9</v>
      </c>
      <c r="C424" s="68">
        <v>7</v>
      </c>
      <c r="D424" s="24">
        <f t="shared" si="6"/>
        <v>630</v>
      </c>
      <c r="E424" t="s">
        <v>54</v>
      </c>
    </row>
    <row r="425" spans="1:5">
      <c r="A425" s="68">
        <v>10</v>
      </c>
      <c r="B425" s="68">
        <v>7</v>
      </c>
      <c r="C425" s="68">
        <v>9</v>
      </c>
      <c r="D425" s="24">
        <f t="shared" si="6"/>
        <v>630</v>
      </c>
      <c r="E425" t="s">
        <v>54</v>
      </c>
    </row>
    <row r="426" spans="1:5">
      <c r="A426">
        <v>10</v>
      </c>
      <c r="B426">
        <v>8</v>
      </c>
      <c r="C426">
        <v>8</v>
      </c>
      <c r="D426" s="24">
        <f t="shared" si="6"/>
        <v>640</v>
      </c>
      <c r="E426" t="s">
        <v>54</v>
      </c>
    </row>
    <row r="427" spans="1:5">
      <c r="A427" s="68">
        <v>10</v>
      </c>
      <c r="B427" s="68">
        <v>9</v>
      </c>
      <c r="C427" s="68">
        <v>8</v>
      </c>
      <c r="D427" s="24">
        <f t="shared" si="6"/>
        <v>720</v>
      </c>
      <c r="E427" t="s">
        <v>54</v>
      </c>
    </row>
    <row r="428" spans="1:5">
      <c r="A428" s="68">
        <v>10</v>
      </c>
      <c r="B428" s="68">
        <v>8</v>
      </c>
      <c r="C428" s="68">
        <v>9</v>
      </c>
      <c r="D428" s="24">
        <f t="shared" si="6"/>
        <v>720</v>
      </c>
      <c r="E428" t="s">
        <v>54</v>
      </c>
    </row>
    <row r="429" spans="1:5">
      <c r="A429">
        <v>10</v>
      </c>
      <c r="B429">
        <v>9</v>
      </c>
      <c r="C429">
        <v>9</v>
      </c>
      <c r="D429" s="24">
        <f t="shared" si="6"/>
        <v>810</v>
      </c>
      <c r="E429" t="s">
        <v>54</v>
      </c>
    </row>
    <row r="430" spans="1:5">
      <c r="A430">
        <v>10</v>
      </c>
      <c r="B430">
        <v>10</v>
      </c>
      <c r="C430">
        <v>10</v>
      </c>
      <c r="D430" s="24">
        <f t="shared" si="6"/>
        <v>1000</v>
      </c>
      <c r="E430" t="s">
        <v>54</v>
      </c>
    </row>
  </sheetData>
  <sheetProtection selectLockedCells="1"/>
  <autoFilter ref="A5:E430"/>
  <sortState ref="A6:E430">
    <sortCondition ref="A6:A430"/>
  </sortState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3">
    <pageSetUpPr fitToPage="1"/>
  </sheetPr>
  <dimension ref="B1:K585"/>
  <sheetViews>
    <sheetView showGridLines="0" zoomScale="90" zoomScaleNormal="90" zoomScalePageLayoutView="80" workbookViewId="0">
      <pane ySplit="4" topLeftCell="A5" activePane="bottomLeft" state="frozen"/>
      <selection pane="bottomLeft" activeCell="H9" sqref="H9"/>
    </sheetView>
  </sheetViews>
  <sheetFormatPr defaultColWidth="11" defaultRowHeight="15.75"/>
  <cols>
    <col min="1" max="1" width="2.125" style="1" customWidth="1"/>
    <col min="2" max="2" width="3.125" style="1" customWidth="1"/>
    <col min="3" max="3" width="36.75" style="1" customWidth="1"/>
    <col min="4" max="4" width="33" style="1" customWidth="1"/>
    <col min="5" max="7" width="12.125" style="1" customWidth="1"/>
    <col min="8" max="9" width="12.875" style="1" customWidth="1"/>
    <col min="10" max="10" width="20.25" style="1" customWidth="1"/>
    <col min="11" max="11" width="10.75" style="14" customWidth="1"/>
    <col min="12" max="24" width="10.75" style="1" customWidth="1"/>
    <col min="25" max="16384" width="11" style="1"/>
  </cols>
  <sheetData>
    <row r="1" spans="2:11" s="7" customFormat="1" ht="39" customHeight="1">
      <c r="E1" s="2"/>
      <c r="F1" s="2"/>
      <c r="G1" s="2"/>
      <c r="H1" s="2"/>
      <c r="I1" s="2"/>
      <c r="K1" s="18"/>
    </row>
    <row r="2" spans="2:11" s="56" customFormat="1" ht="30" customHeight="1">
      <c r="C2" s="54"/>
      <c r="D2" s="55"/>
      <c r="E2" s="55"/>
      <c r="F2" s="55"/>
      <c r="G2" s="55"/>
      <c r="H2" s="55"/>
      <c r="I2" s="55"/>
      <c r="J2" s="55"/>
      <c r="K2" s="57"/>
    </row>
    <row r="3" spans="2:11" ht="15" customHeight="1" thickBot="1">
      <c r="C3" s="3"/>
      <c r="D3" s="4"/>
      <c r="E3" s="4"/>
      <c r="F3" s="4"/>
      <c r="G3" s="19">
        <f ca="1">TODAY()</f>
        <v>43203</v>
      </c>
      <c r="H3" s="4"/>
      <c r="I3" s="4"/>
      <c r="J3" s="4"/>
    </row>
    <row r="4" spans="2:11" ht="36" customHeight="1" thickTop="1">
      <c r="B4" s="15" t="s">
        <v>26</v>
      </c>
      <c r="C4" s="8" t="s">
        <v>19</v>
      </c>
      <c r="D4" s="8" t="s">
        <v>8</v>
      </c>
      <c r="E4" s="8" t="s">
        <v>11</v>
      </c>
      <c r="F4" s="8" t="s">
        <v>10</v>
      </c>
      <c r="G4" s="8" t="s">
        <v>12</v>
      </c>
      <c r="H4" s="8" t="s">
        <v>13</v>
      </c>
      <c r="I4" s="8" t="s">
        <v>14</v>
      </c>
      <c r="J4" s="8" t="s">
        <v>9</v>
      </c>
    </row>
    <row r="5" spans="2:11" ht="30" customHeight="1">
      <c r="B5" s="17">
        <v>1</v>
      </c>
      <c r="C5" s="39" t="s">
        <v>87</v>
      </c>
      <c r="D5" s="34" t="s">
        <v>82</v>
      </c>
      <c r="E5" s="23">
        <v>43059</v>
      </c>
      <c r="F5" s="36">
        <v>43070</v>
      </c>
      <c r="G5" s="23"/>
      <c r="H5" s="10">
        <f>IF(F5="","",F5-E5)</f>
        <v>11</v>
      </c>
      <c r="I5" s="10" t="str">
        <f>IF(G5="","",G5-E5)</f>
        <v/>
      </c>
      <c r="J5" s="9" t="str">
        <f ca="1">IF(C5="","",IF(AND(E5&lt;&gt;"",F5="",G5=""),"Em Andamento",IF(E5="","Não Iniciado",IF(AND(F5&lt;&gt;"",F5&lt;$G$3,G5=""),"Atrasado",IF(AND(E5&lt;&gt;"",F5&gt;$G$3,G5=""),"Em Andamento",IF(AND(G5&lt;&gt;"",G5&gt;F5),"Concluído com Atraso",IF(G5&lt;=F5,"Concluído","")))))))</f>
        <v>Atrasado</v>
      </c>
      <c r="K5" s="14">
        <f>IF(E5="","",MONTH(E5))</f>
        <v>11</v>
      </c>
    </row>
    <row r="6" spans="2:11" ht="30" customHeight="1">
      <c r="B6" s="17">
        <v>2</v>
      </c>
      <c r="C6" s="39" t="s">
        <v>88</v>
      </c>
      <c r="D6" s="34" t="s">
        <v>83</v>
      </c>
      <c r="E6" s="23">
        <v>43059</v>
      </c>
      <c r="F6" s="23">
        <v>43064</v>
      </c>
      <c r="G6" s="23">
        <v>43064</v>
      </c>
      <c r="H6" s="10">
        <f>IF(F6="","",F6-E6)</f>
        <v>5</v>
      </c>
      <c r="I6" s="10">
        <f>IF(G6="","",G6-E6)</f>
        <v>5</v>
      </c>
      <c r="J6" s="37" t="str">
        <f ca="1">IF(C6="","",IF(AND(E6&lt;&gt;"",F6="",G6=""),"Em Andamento",IF(E6="","Não Iniciado",IF(AND(F6&lt;&gt;"",F6&lt;$G$3,G6=""),"Atrasado",IF(AND(E6&lt;&gt;"",F6&gt;$G$3,G6=""),"Em Andamento",IF(AND(G6&lt;&gt;"",G6&gt;F6),"Concluído com Atraso",IF(G6&lt;=F6,"Concluído","")))))))</f>
        <v>Concluído</v>
      </c>
      <c r="K6" s="14">
        <f t="shared" ref="K6:K54" si="0">IF(E6="","",MONTH(E6))</f>
        <v>11</v>
      </c>
    </row>
    <row r="7" spans="2:11" ht="30" customHeight="1">
      <c r="B7" s="17">
        <v>3</v>
      </c>
      <c r="C7" s="20" t="s">
        <v>65</v>
      </c>
      <c r="D7" s="37" t="s">
        <v>84</v>
      </c>
      <c r="E7" s="40">
        <v>43059</v>
      </c>
      <c r="F7" s="40">
        <v>43084</v>
      </c>
      <c r="G7" s="40"/>
      <c r="H7" s="10">
        <v>25</v>
      </c>
      <c r="I7" s="10" t="str">
        <f>IF(G7="","",G7-E7)</f>
        <v/>
      </c>
      <c r="J7" s="37" t="str">
        <f ca="1">IF(C7="","",IF(AND(E7&lt;&gt;"",F7="",G7=""),"Em Andamento",IF(E7="","Não Iniciado",IF(AND(F7&lt;&gt;"",F7&lt;$G$3,G7=""),"Atrasado",IF(AND(E7&lt;&gt;"",F7&gt;$G$3,G7=""),"Em Andamento",IF(AND(G7&lt;&gt;"",G7&gt;F7),"Concluído com Atraso",IF(G7&lt;=F7,"Concluído","")))))))</f>
        <v>Atrasado</v>
      </c>
      <c r="K7" s="14">
        <f t="shared" si="0"/>
        <v>11</v>
      </c>
    </row>
    <row r="8" spans="2:11" ht="30" customHeight="1">
      <c r="B8" s="17">
        <v>4</v>
      </c>
      <c r="C8" s="39" t="s">
        <v>90</v>
      </c>
      <c r="D8" s="37" t="s">
        <v>85</v>
      </c>
      <c r="E8" s="40">
        <v>43059</v>
      </c>
      <c r="F8" s="40">
        <v>43062</v>
      </c>
      <c r="G8" s="40">
        <v>43065</v>
      </c>
      <c r="H8" s="10">
        <v>3</v>
      </c>
      <c r="I8" s="10">
        <f>IF(G8="","",G8-E8)</f>
        <v>6</v>
      </c>
      <c r="J8" s="37" t="str">
        <f ca="1">IF(C8="","",IF(AND(E8&lt;&gt;"",F8="",G8=""),"Em Andamento",IF(E8="","Não Iniciado",IF(AND(F8&lt;&gt;"",F8&lt;$G$3,G8=""),"Atrasado",IF(AND(E8&lt;&gt;"",F8&gt;$G$3,G8=""),"Em Andamento",IF(AND(G8&lt;&gt;"",G8&gt;F8),"Concluído com Atraso",IF(G8&lt;=F8,"Concluído","")))))))</f>
        <v>Concluído com Atraso</v>
      </c>
      <c r="K8" s="14">
        <f t="shared" si="0"/>
        <v>11</v>
      </c>
    </row>
    <row r="9" spans="2:11" ht="30" customHeight="1">
      <c r="B9" s="17">
        <v>5</v>
      </c>
      <c r="C9" s="39" t="s">
        <v>89</v>
      </c>
      <c r="D9" s="37" t="s">
        <v>86</v>
      </c>
      <c r="E9" s="40">
        <v>43059</v>
      </c>
      <c r="F9" s="40">
        <v>43075</v>
      </c>
      <c r="G9" s="40"/>
      <c r="H9" s="10">
        <v>16</v>
      </c>
      <c r="I9" s="10" t="str">
        <f>IF(G9="","",G9-E9)</f>
        <v/>
      </c>
      <c r="J9" s="37" t="str">
        <f ca="1">IF(C9="","",IF(AND(E9&lt;&gt;"",F9="",G9=""),"Em Andamento",IF(E9="","Não Iniciado",IF(AND(F9&lt;&gt;"",F9&lt;$G$3,G9=""),"Atrasado",IF(AND(E9&lt;&gt;"",F9&gt;$G$3,G9=""),"Em Andamento",IF(AND(G9&lt;&gt;"",G9&gt;F9),"Concluído com Atraso",IF(G9&lt;=F9,"Concluído","")))))))</f>
        <v>Atrasado</v>
      </c>
      <c r="K9" s="14">
        <f t="shared" si="0"/>
        <v>11</v>
      </c>
    </row>
    <row r="10" spans="2:11" ht="30" customHeight="1">
      <c r="B10" s="17">
        <v>6</v>
      </c>
      <c r="C10" s="20" t="s">
        <v>74</v>
      </c>
      <c r="D10" s="9"/>
      <c r="E10" s="40"/>
      <c r="F10" s="40"/>
      <c r="G10" s="40"/>
      <c r="H10" s="10" t="s">
        <v>74</v>
      </c>
      <c r="I10" s="10" t="s">
        <v>74</v>
      </c>
      <c r="J10" s="9" t="s">
        <v>74</v>
      </c>
      <c r="K10" s="14" t="str">
        <f t="shared" si="0"/>
        <v/>
      </c>
    </row>
    <row r="11" spans="2:11" ht="30" customHeight="1">
      <c r="B11" s="17">
        <v>7</v>
      </c>
      <c r="C11" s="20" t="s">
        <v>74</v>
      </c>
      <c r="D11" s="9"/>
      <c r="E11" s="40"/>
      <c r="F11" s="40"/>
      <c r="G11" s="40"/>
      <c r="H11" s="10" t="s">
        <v>74</v>
      </c>
      <c r="I11" s="10" t="s">
        <v>74</v>
      </c>
      <c r="J11" s="9" t="s">
        <v>74</v>
      </c>
      <c r="K11" s="14" t="str">
        <f t="shared" si="0"/>
        <v/>
      </c>
    </row>
    <row r="12" spans="2:11" ht="30" customHeight="1">
      <c r="B12" s="17">
        <v>8</v>
      </c>
      <c r="C12" s="20" t="s">
        <v>74</v>
      </c>
      <c r="D12" s="9"/>
      <c r="E12" s="40"/>
      <c r="F12" s="40"/>
      <c r="G12" s="40"/>
      <c r="H12" s="10" t="s">
        <v>74</v>
      </c>
      <c r="I12" s="10" t="s">
        <v>74</v>
      </c>
      <c r="J12" s="9" t="s">
        <v>74</v>
      </c>
      <c r="K12" s="14" t="str">
        <f t="shared" si="0"/>
        <v/>
      </c>
    </row>
    <row r="13" spans="2:11" ht="30" customHeight="1">
      <c r="B13" s="17">
        <v>9</v>
      </c>
      <c r="C13" s="20" t="s">
        <v>74</v>
      </c>
      <c r="D13" s="9"/>
      <c r="E13" s="40"/>
      <c r="F13" s="40"/>
      <c r="G13" s="40"/>
      <c r="H13" s="10" t="s">
        <v>74</v>
      </c>
      <c r="I13" s="10" t="s">
        <v>74</v>
      </c>
      <c r="J13" s="9" t="s">
        <v>74</v>
      </c>
      <c r="K13" s="14" t="str">
        <f t="shared" si="0"/>
        <v/>
      </c>
    </row>
    <row r="14" spans="2:11" ht="30" customHeight="1">
      <c r="B14" s="17">
        <v>10</v>
      </c>
      <c r="C14" s="20" t="s">
        <v>74</v>
      </c>
      <c r="D14" s="9"/>
      <c r="E14" s="40"/>
      <c r="F14" s="40"/>
      <c r="G14" s="40"/>
      <c r="H14" s="10" t="s">
        <v>74</v>
      </c>
      <c r="I14" s="10" t="s">
        <v>74</v>
      </c>
      <c r="J14" s="9" t="s">
        <v>74</v>
      </c>
      <c r="K14" s="14" t="str">
        <f t="shared" si="0"/>
        <v/>
      </c>
    </row>
    <row r="15" spans="2:11" ht="30" customHeight="1">
      <c r="B15" s="17">
        <v>11</v>
      </c>
      <c r="C15" s="20" t="s">
        <v>74</v>
      </c>
      <c r="D15" s="9"/>
      <c r="E15" s="40"/>
      <c r="F15" s="40"/>
      <c r="G15" s="40"/>
      <c r="H15" s="10" t="s">
        <v>74</v>
      </c>
      <c r="I15" s="10" t="s">
        <v>74</v>
      </c>
      <c r="J15" s="9" t="s">
        <v>74</v>
      </c>
      <c r="K15" s="14" t="str">
        <f t="shared" si="0"/>
        <v/>
      </c>
    </row>
    <row r="16" spans="2:11" ht="30" customHeight="1">
      <c r="B16" s="17">
        <v>12</v>
      </c>
      <c r="C16" s="20" t="s">
        <v>74</v>
      </c>
      <c r="D16" s="9"/>
      <c r="E16" s="40"/>
      <c r="F16" s="40"/>
      <c r="G16" s="40"/>
      <c r="H16" s="10" t="s">
        <v>74</v>
      </c>
      <c r="I16" s="10" t="s">
        <v>74</v>
      </c>
      <c r="J16" s="9" t="s">
        <v>74</v>
      </c>
      <c r="K16" s="14" t="str">
        <f t="shared" si="0"/>
        <v/>
      </c>
    </row>
    <row r="17" spans="2:11" ht="30" customHeight="1">
      <c r="B17" s="17">
        <v>13</v>
      </c>
      <c r="C17" s="20" t="s">
        <v>74</v>
      </c>
      <c r="D17" s="9"/>
      <c r="E17" s="40"/>
      <c r="F17" s="40"/>
      <c r="G17" s="40"/>
      <c r="H17" s="10" t="s">
        <v>74</v>
      </c>
      <c r="I17" s="10" t="s">
        <v>74</v>
      </c>
      <c r="J17" s="9" t="s">
        <v>74</v>
      </c>
      <c r="K17" s="14" t="str">
        <f t="shared" si="0"/>
        <v/>
      </c>
    </row>
    <row r="18" spans="2:11" ht="30" customHeight="1">
      <c r="B18" s="17">
        <v>14</v>
      </c>
      <c r="C18" s="20" t="s">
        <v>74</v>
      </c>
      <c r="D18" s="9"/>
      <c r="E18" s="40"/>
      <c r="F18" s="40"/>
      <c r="G18" s="40"/>
      <c r="H18" s="10" t="s">
        <v>74</v>
      </c>
      <c r="I18" s="10" t="s">
        <v>74</v>
      </c>
      <c r="J18" s="9" t="s">
        <v>74</v>
      </c>
      <c r="K18" s="14" t="str">
        <f t="shared" si="0"/>
        <v/>
      </c>
    </row>
    <row r="19" spans="2:11" ht="30" customHeight="1">
      <c r="B19" s="17">
        <v>15</v>
      </c>
      <c r="C19" s="20" t="s">
        <v>74</v>
      </c>
      <c r="D19" s="9"/>
      <c r="E19" s="40"/>
      <c r="F19" s="40"/>
      <c r="G19" s="40"/>
      <c r="H19" s="10" t="s">
        <v>74</v>
      </c>
      <c r="I19" s="10" t="s">
        <v>74</v>
      </c>
      <c r="J19" s="9" t="s">
        <v>74</v>
      </c>
      <c r="K19" s="14" t="str">
        <f t="shared" si="0"/>
        <v/>
      </c>
    </row>
    <row r="20" spans="2:11" ht="30" customHeight="1">
      <c r="B20" s="17">
        <v>16</v>
      </c>
      <c r="C20" s="20" t="s">
        <v>74</v>
      </c>
      <c r="D20" s="9"/>
      <c r="E20" s="40"/>
      <c r="F20" s="40"/>
      <c r="G20" s="40"/>
      <c r="H20" s="10" t="s">
        <v>74</v>
      </c>
      <c r="I20" s="10" t="s">
        <v>74</v>
      </c>
      <c r="J20" s="9" t="s">
        <v>74</v>
      </c>
      <c r="K20" s="14" t="str">
        <f t="shared" si="0"/>
        <v/>
      </c>
    </row>
    <row r="21" spans="2:11" ht="30" customHeight="1">
      <c r="B21" s="17">
        <v>17</v>
      </c>
      <c r="C21" s="20" t="s">
        <v>74</v>
      </c>
      <c r="D21" s="9"/>
      <c r="E21" s="40"/>
      <c r="F21" s="40"/>
      <c r="G21" s="40"/>
      <c r="H21" s="10" t="s">
        <v>74</v>
      </c>
      <c r="I21" s="10" t="s">
        <v>74</v>
      </c>
      <c r="J21" s="9" t="s">
        <v>74</v>
      </c>
      <c r="K21" s="14" t="str">
        <f t="shared" si="0"/>
        <v/>
      </c>
    </row>
    <row r="22" spans="2:11" ht="30" customHeight="1">
      <c r="B22" s="17">
        <v>18</v>
      </c>
      <c r="C22" s="20" t="s">
        <v>74</v>
      </c>
      <c r="D22" s="9"/>
      <c r="E22" s="40"/>
      <c r="F22" s="40"/>
      <c r="G22" s="40"/>
      <c r="H22" s="10" t="s">
        <v>74</v>
      </c>
      <c r="I22" s="10" t="s">
        <v>74</v>
      </c>
      <c r="J22" s="9" t="s">
        <v>74</v>
      </c>
      <c r="K22" s="14" t="str">
        <f t="shared" si="0"/>
        <v/>
      </c>
    </row>
    <row r="23" spans="2:11" ht="30" customHeight="1">
      <c r="B23" s="17">
        <v>19</v>
      </c>
      <c r="C23" s="20" t="s">
        <v>74</v>
      </c>
      <c r="D23" s="9"/>
      <c r="E23" s="40"/>
      <c r="F23" s="40"/>
      <c r="G23" s="40"/>
      <c r="H23" s="10" t="s">
        <v>74</v>
      </c>
      <c r="I23" s="10" t="s">
        <v>74</v>
      </c>
      <c r="J23" s="9" t="s">
        <v>74</v>
      </c>
      <c r="K23" s="14" t="str">
        <f t="shared" si="0"/>
        <v/>
      </c>
    </row>
    <row r="24" spans="2:11" ht="30" customHeight="1">
      <c r="B24" s="17">
        <v>20</v>
      </c>
      <c r="C24" s="20" t="s">
        <v>74</v>
      </c>
      <c r="D24" s="9"/>
      <c r="E24" s="40"/>
      <c r="F24" s="40"/>
      <c r="G24" s="40"/>
      <c r="H24" s="10" t="s">
        <v>74</v>
      </c>
      <c r="I24" s="10" t="s">
        <v>74</v>
      </c>
      <c r="J24" s="9" t="s">
        <v>74</v>
      </c>
      <c r="K24" s="14" t="str">
        <f t="shared" si="0"/>
        <v/>
      </c>
    </row>
    <row r="25" spans="2:11" ht="30" customHeight="1">
      <c r="B25" s="17">
        <v>21</v>
      </c>
      <c r="C25" s="20" t="s">
        <v>74</v>
      </c>
      <c r="D25" s="9"/>
      <c r="E25" s="40"/>
      <c r="F25" s="40"/>
      <c r="G25" s="40"/>
      <c r="H25" s="10" t="s">
        <v>74</v>
      </c>
      <c r="I25" s="10" t="s">
        <v>74</v>
      </c>
      <c r="J25" s="9" t="s">
        <v>74</v>
      </c>
      <c r="K25" s="14" t="str">
        <f t="shared" si="0"/>
        <v/>
      </c>
    </row>
    <row r="26" spans="2:11" ht="30" customHeight="1">
      <c r="B26" s="17">
        <v>22</v>
      </c>
      <c r="C26" s="20" t="s">
        <v>74</v>
      </c>
      <c r="D26" s="9"/>
      <c r="E26" s="40"/>
      <c r="F26" s="40"/>
      <c r="G26" s="40"/>
      <c r="H26" s="10" t="s">
        <v>74</v>
      </c>
      <c r="I26" s="10" t="s">
        <v>74</v>
      </c>
      <c r="J26" s="9" t="s">
        <v>74</v>
      </c>
      <c r="K26" s="14" t="str">
        <f t="shared" si="0"/>
        <v/>
      </c>
    </row>
    <row r="27" spans="2:11" ht="30" customHeight="1">
      <c r="B27" s="17">
        <v>23</v>
      </c>
      <c r="C27" s="20" t="s">
        <v>74</v>
      </c>
      <c r="D27" s="9"/>
      <c r="E27" s="40"/>
      <c r="F27" s="40"/>
      <c r="G27" s="40"/>
      <c r="H27" s="10" t="s">
        <v>74</v>
      </c>
      <c r="I27" s="10" t="s">
        <v>74</v>
      </c>
      <c r="J27" s="9" t="s">
        <v>74</v>
      </c>
      <c r="K27" s="14" t="str">
        <f t="shared" si="0"/>
        <v/>
      </c>
    </row>
    <row r="28" spans="2:11" ht="30" customHeight="1">
      <c r="B28" s="17">
        <v>24</v>
      </c>
      <c r="C28" s="20" t="s">
        <v>74</v>
      </c>
      <c r="D28" s="9"/>
      <c r="E28" s="40"/>
      <c r="F28" s="40"/>
      <c r="G28" s="40"/>
      <c r="H28" s="10" t="s">
        <v>74</v>
      </c>
      <c r="I28" s="10" t="s">
        <v>74</v>
      </c>
      <c r="J28" s="9" t="s">
        <v>74</v>
      </c>
      <c r="K28" s="14" t="str">
        <f t="shared" si="0"/>
        <v/>
      </c>
    </row>
    <row r="29" spans="2:11" ht="30" customHeight="1">
      <c r="B29" s="17">
        <v>25</v>
      </c>
      <c r="C29" s="20" t="s">
        <v>74</v>
      </c>
      <c r="D29" s="9"/>
      <c r="E29" s="40"/>
      <c r="F29" s="40"/>
      <c r="G29" s="40"/>
      <c r="H29" s="10" t="s">
        <v>74</v>
      </c>
      <c r="I29" s="10" t="s">
        <v>74</v>
      </c>
      <c r="J29" s="9" t="s">
        <v>74</v>
      </c>
      <c r="K29" s="14" t="str">
        <f t="shared" si="0"/>
        <v/>
      </c>
    </row>
    <row r="30" spans="2:11" ht="30" customHeight="1">
      <c r="B30" s="17">
        <v>26</v>
      </c>
      <c r="C30" s="20" t="s">
        <v>74</v>
      </c>
      <c r="D30" s="9"/>
      <c r="E30" s="40"/>
      <c r="F30" s="40"/>
      <c r="G30" s="40"/>
      <c r="H30" s="10" t="s">
        <v>74</v>
      </c>
      <c r="I30" s="10" t="s">
        <v>74</v>
      </c>
      <c r="J30" s="9" t="s">
        <v>74</v>
      </c>
      <c r="K30" s="14" t="str">
        <f t="shared" si="0"/>
        <v/>
      </c>
    </row>
    <row r="31" spans="2:11" ht="30" customHeight="1">
      <c r="B31" s="17">
        <v>27</v>
      </c>
      <c r="C31" s="20" t="s">
        <v>74</v>
      </c>
      <c r="D31" s="9"/>
      <c r="E31" s="40"/>
      <c r="F31" s="40"/>
      <c r="G31" s="40"/>
      <c r="H31" s="10" t="s">
        <v>74</v>
      </c>
      <c r="I31" s="10" t="s">
        <v>74</v>
      </c>
      <c r="J31" s="9" t="s">
        <v>74</v>
      </c>
      <c r="K31" s="14" t="str">
        <f t="shared" si="0"/>
        <v/>
      </c>
    </row>
    <row r="32" spans="2:11" ht="30" customHeight="1">
      <c r="B32" s="17">
        <v>28</v>
      </c>
      <c r="C32" s="20" t="s">
        <v>74</v>
      </c>
      <c r="D32" s="9"/>
      <c r="E32" s="40"/>
      <c r="F32" s="40"/>
      <c r="G32" s="40"/>
      <c r="H32" s="10" t="s">
        <v>74</v>
      </c>
      <c r="I32" s="10" t="s">
        <v>74</v>
      </c>
      <c r="J32" s="9" t="s">
        <v>74</v>
      </c>
      <c r="K32" s="14" t="str">
        <f t="shared" si="0"/>
        <v/>
      </c>
    </row>
    <row r="33" spans="2:11" ht="30" customHeight="1">
      <c r="B33" s="17">
        <v>29</v>
      </c>
      <c r="C33" s="20" t="s">
        <v>74</v>
      </c>
      <c r="D33" s="9"/>
      <c r="E33" s="40"/>
      <c r="F33" s="40"/>
      <c r="G33" s="40"/>
      <c r="H33" s="10" t="s">
        <v>74</v>
      </c>
      <c r="I33" s="10" t="s">
        <v>74</v>
      </c>
      <c r="J33" s="9" t="s">
        <v>74</v>
      </c>
      <c r="K33" s="14" t="str">
        <f t="shared" si="0"/>
        <v/>
      </c>
    </row>
    <row r="34" spans="2:11" ht="30" customHeight="1">
      <c r="B34" s="17">
        <v>30</v>
      </c>
      <c r="C34" s="20" t="s">
        <v>74</v>
      </c>
      <c r="D34" s="9"/>
      <c r="E34" s="40"/>
      <c r="F34" s="40"/>
      <c r="G34" s="40"/>
      <c r="H34" s="10" t="s">
        <v>74</v>
      </c>
      <c r="I34" s="10" t="s">
        <v>74</v>
      </c>
      <c r="J34" s="9" t="s">
        <v>74</v>
      </c>
      <c r="K34" s="14" t="str">
        <f t="shared" si="0"/>
        <v/>
      </c>
    </row>
    <row r="35" spans="2:11" ht="30" customHeight="1">
      <c r="B35" s="17">
        <v>31</v>
      </c>
      <c r="C35" s="20" t="s">
        <v>74</v>
      </c>
      <c r="D35" s="9"/>
      <c r="E35" s="40"/>
      <c r="F35" s="40"/>
      <c r="G35" s="40"/>
      <c r="H35" s="10" t="s">
        <v>74</v>
      </c>
      <c r="I35" s="10" t="s">
        <v>74</v>
      </c>
      <c r="J35" s="9" t="s">
        <v>74</v>
      </c>
      <c r="K35" s="14" t="str">
        <f t="shared" si="0"/>
        <v/>
      </c>
    </row>
    <row r="36" spans="2:11" ht="30" customHeight="1">
      <c r="B36" s="17">
        <v>32</v>
      </c>
      <c r="C36" s="20" t="s">
        <v>74</v>
      </c>
      <c r="D36" s="9"/>
      <c r="E36" s="40"/>
      <c r="F36" s="40"/>
      <c r="G36" s="40"/>
      <c r="H36" s="10" t="s">
        <v>74</v>
      </c>
      <c r="I36" s="10" t="s">
        <v>74</v>
      </c>
      <c r="J36" s="9" t="s">
        <v>74</v>
      </c>
      <c r="K36" s="14" t="str">
        <f t="shared" si="0"/>
        <v/>
      </c>
    </row>
    <row r="37" spans="2:11" ht="30" customHeight="1">
      <c r="B37" s="17">
        <v>33</v>
      </c>
      <c r="C37" s="20" t="s">
        <v>74</v>
      </c>
      <c r="D37" s="9"/>
      <c r="E37" s="40"/>
      <c r="F37" s="40"/>
      <c r="G37" s="40"/>
      <c r="H37" s="10" t="s">
        <v>74</v>
      </c>
      <c r="I37" s="10" t="s">
        <v>74</v>
      </c>
      <c r="J37" s="9" t="s">
        <v>74</v>
      </c>
      <c r="K37" s="14" t="str">
        <f t="shared" si="0"/>
        <v/>
      </c>
    </row>
    <row r="38" spans="2:11" ht="30" customHeight="1">
      <c r="B38" s="17">
        <v>34</v>
      </c>
      <c r="C38" s="20" t="s">
        <v>74</v>
      </c>
      <c r="D38" s="9"/>
      <c r="E38" s="40"/>
      <c r="F38" s="40"/>
      <c r="G38" s="40"/>
      <c r="H38" s="10" t="s">
        <v>74</v>
      </c>
      <c r="I38" s="10" t="s">
        <v>74</v>
      </c>
      <c r="J38" s="9" t="s">
        <v>74</v>
      </c>
      <c r="K38" s="14" t="str">
        <f t="shared" si="0"/>
        <v/>
      </c>
    </row>
    <row r="39" spans="2:11" ht="30" customHeight="1">
      <c r="B39" s="17">
        <v>35</v>
      </c>
      <c r="C39" s="20" t="s">
        <v>74</v>
      </c>
      <c r="D39" s="9"/>
      <c r="E39" s="40"/>
      <c r="F39" s="40"/>
      <c r="G39" s="40"/>
      <c r="H39" s="10" t="s">
        <v>74</v>
      </c>
      <c r="I39" s="10" t="s">
        <v>74</v>
      </c>
      <c r="J39" s="9" t="s">
        <v>74</v>
      </c>
      <c r="K39" s="14" t="str">
        <f t="shared" si="0"/>
        <v/>
      </c>
    </row>
    <row r="40" spans="2:11" ht="30" customHeight="1">
      <c r="B40" s="17">
        <v>36</v>
      </c>
      <c r="C40" s="20" t="s">
        <v>74</v>
      </c>
      <c r="D40" s="9"/>
      <c r="E40" s="40"/>
      <c r="F40" s="40"/>
      <c r="G40" s="40"/>
      <c r="H40" s="10" t="s">
        <v>74</v>
      </c>
      <c r="I40" s="10" t="s">
        <v>74</v>
      </c>
      <c r="J40" s="9" t="s">
        <v>74</v>
      </c>
      <c r="K40" s="14" t="str">
        <f t="shared" si="0"/>
        <v/>
      </c>
    </row>
    <row r="41" spans="2:11" ht="30" customHeight="1">
      <c r="B41" s="17">
        <v>37</v>
      </c>
      <c r="C41" s="20" t="s">
        <v>74</v>
      </c>
      <c r="D41" s="9"/>
      <c r="E41" s="40"/>
      <c r="F41" s="40"/>
      <c r="G41" s="40"/>
      <c r="H41" s="10" t="s">
        <v>74</v>
      </c>
      <c r="I41" s="10" t="s">
        <v>74</v>
      </c>
      <c r="J41" s="9" t="s">
        <v>74</v>
      </c>
      <c r="K41" s="14" t="str">
        <f t="shared" si="0"/>
        <v/>
      </c>
    </row>
    <row r="42" spans="2:11" ht="30" customHeight="1">
      <c r="B42" s="17">
        <v>38</v>
      </c>
      <c r="C42" s="20" t="s">
        <v>74</v>
      </c>
      <c r="D42" s="9"/>
      <c r="E42" s="40"/>
      <c r="F42" s="40"/>
      <c r="G42" s="40"/>
      <c r="H42" s="10" t="s">
        <v>74</v>
      </c>
      <c r="I42" s="10" t="s">
        <v>74</v>
      </c>
      <c r="J42" s="9" t="s">
        <v>74</v>
      </c>
      <c r="K42" s="14" t="str">
        <f t="shared" si="0"/>
        <v/>
      </c>
    </row>
    <row r="43" spans="2:11" ht="30" customHeight="1">
      <c r="B43" s="17">
        <v>39</v>
      </c>
      <c r="C43" s="20" t="s">
        <v>74</v>
      </c>
      <c r="D43" s="9"/>
      <c r="E43" s="40"/>
      <c r="F43" s="40"/>
      <c r="G43" s="40"/>
      <c r="H43" s="10" t="s">
        <v>74</v>
      </c>
      <c r="I43" s="10" t="s">
        <v>74</v>
      </c>
      <c r="J43" s="9" t="s">
        <v>74</v>
      </c>
      <c r="K43" s="14" t="str">
        <f t="shared" si="0"/>
        <v/>
      </c>
    </row>
    <row r="44" spans="2:11" ht="30" customHeight="1">
      <c r="B44" s="17">
        <v>40</v>
      </c>
      <c r="C44" s="20" t="s">
        <v>74</v>
      </c>
      <c r="D44" s="9"/>
      <c r="E44" s="40"/>
      <c r="F44" s="40"/>
      <c r="G44" s="40"/>
      <c r="H44" s="10" t="s">
        <v>74</v>
      </c>
      <c r="I44" s="10" t="s">
        <v>74</v>
      </c>
      <c r="J44" s="9" t="s">
        <v>74</v>
      </c>
      <c r="K44" s="14" t="str">
        <f t="shared" si="0"/>
        <v/>
      </c>
    </row>
    <row r="45" spans="2:11" ht="30" customHeight="1">
      <c r="B45" s="17">
        <v>41</v>
      </c>
      <c r="C45" s="20" t="s">
        <v>74</v>
      </c>
      <c r="D45" s="9"/>
      <c r="E45" s="40"/>
      <c r="F45" s="40"/>
      <c r="G45" s="40"/>
      <c r="H45" s="10" t="s">
        <v>74</v>
      </c>
      <c r="I45" s="10" t="s">
        <v>74</v>
      </c>
      <c r="J45" s="9" t="s">
        <v>74</v>
      </c>
      <c r="K45" s="14" t="str">
        <f t="shared" si="0"/>
        <v/>
      </c>
    </row>
    <row r="46" spans="2:11" ht="30" customHeight="1">
      <c r="B46" s="17">
        <v>42</v>
      </c>
      <c r="C46" s="20" t="s">
        <v>74</v>
      </c>
      <c r="D46" s="9"/>
      <c r="E46" s="40"/>
      <c r="F46" s="40"/>
      <c r="G46" s="40"/>
      <c r="H46" s="10" t="s">
        <v>74</v>
      </c>
      <c r="I46" s="10" t="s">
        <v>74</v>
      </c>
      <c r="J46" s="9" t="s">
        <v>74</v>
      </c>
      <c r="K46" s="14" t="str">
        <f t="shared" si="0"/>
        <v/>
      </c>
    </row>
    <row r="47" spans="2:11" ht="30" customHeight="1">
      <c r="B47" s="17">
        <v>43</v>
      </c>
      <c r="C47" s="20" t="s">
        <v>74</v>
      </c>
      <c r="D47" s="9"/>
      <c r="E47" s="40"/>
      <c r="F47" s="40"/>
      <c r="G47" s="40"/>
      <c r="H47" s="10" t="s">
        <v>74</v>
      </c>
      <c r="I47" s="10" t="s">
        <v>74</v>
      </c>
      <c r="J47" s="9" t="s">
        <v>74</v>
      </c>
      <c r="K47" s="14" t="str">
        <f t="shared" si="0"/>
        <v/>
      </c>
    </row>
    <row r="48" spans="2:11" ht="30" customHeight="1">
      <c r="B48" s="17">
        <v>44</v>
      </c>
      <c r="C48" s="20" t="s">
        <v>74</v>
      </c>
      <c r="D48" s="9"/>
      <c r="E48" s="40"/>
      <c r="F48" s="40"/>
      <c r="G48" s="40"/>
      <c r="H48" s="10" t="s">
        <v>74</v>
      </c>
      <c r="I48" s="10" t="s">
        <v>74</v>
      </c>
      <c r="J48" s="9" t="s">
        <v>74</v>
      </c>
      <c r="K48" s="14" t="str">
        <f t="shared" si="0"/>
        <v/>
      </c>
    </row>
    <row r="49" spans="2:11" ht="30" customHeight="1">
      <c r="B49" s="17">
        <v>45</v>
      </c>
      <c r="C49" s="20" t="s">
        <v>74</v>
      </c>
      <c r="D49" s="9"/>
      <c r="E49" s="40"/>
      <c r="F49" s="40"/>
      <c r="G49" s="40"/>
      <c r="H49" s="10" t="s">
        <v>74</v>
      </c>
      <c r="I49" s="10" t="s">
        <v>74</v>
      </c>
      <c r="J49" s="9" t="s">
        <v>74</v>
      </c>
      <c r="K49" s="14" t="str">
        <f t="shared" si="0"/>
        <v/>
      </c>
    </row>
    <row r="50" spans="2:11" ht="30" customHeight="1">
      <c r="B50" s="17">
        <v>46</v>
      </c>
      <c r="C50" s="20" t="s">
        <v>74</v>
      </c>
      <c r="D50" s="9"/>
      <c r="E50" s="40"/>
      <c r="F50" s="40"/>
      <c r="G50" s="40"/>
      <c r="H50" s="10" t="s">
        <v>74</v>
      </c>
      <c r="I50" s="10" t="s">
        <v>74</v>
      </c>
      <c r="J50" s="9" t="s">
        <v>74</v>
      </c>
      <c r="K50" s="14" t="str">
        <f t="shared" si="0"/>
        <v/>
      </c>
    </row>
    <row r="51" spans="2:11" ht="30" customHeight="1">
      <c r="B51" s="17">
        <v>47</v>
      </c>
      <c r="C51" s="20" t="s">
        <v>74</v>
      </c>
      <c r="D51" s="9"/>
      <c r="E51" s="40"/>
      <c r="F51" s="40"/>
      <c r="G51" s="40"/>
      <c r="H51" s="10" t="s">
        <v>74</v>
      </c>
      <c r="I51" s="10" t="s">
        <v>74</v>
      </c>
      <c r="J51" s="9" t="s">
        <v>74</v>
      </c>
      <c r="K51" s="14" t="str">
        <f t="shared" si="0"/>
        <v/>
      </c>
    </row>
    <row r="52" spans="2:11" ht="30" customHeight="1">
      <c r="B52" s="17">
        <v>48</v>
      </c>
      <c r="C52" s="20" t="s">
        <v>74</v>
      </c>
      <c r="D52" s="9"/>
      <c r="E52" s="40"/>
      <c r="F52" s="40"/>
      <c r="G52" s="40"/>
      <c r="H52" s="10" t="s">
        <v>74</v>
      </c>
      <c r="I52" s="10" t="s">
        <v>74</v>
      </c>
      <c r="J52" s="9" t="s">
        <v>74</v>
      </c>
      <c r="K52" s="14" t="str">
        <f t="shared" si="0"/>
        <v/>
      </c>
    </row>
    <row r="53" spans="2:11" ht="30" customHeight="1">
      <c r="B53" s="17">
        <v>49</v>
      </c>
      <c r="C53" s="20" t="s">
        <v>74</v>
      </c>
      <c r="D53" s="9"/>
      <c r="E53" s="40"/>
      <c r="F53" s="40"/>
      <c r="G53" s="40"/>
      <c r="H53" s="10" t="s">
        <v>74</v>
      </c>
      <c r="I53" s="10" t="s">
        <v>74</v>
      </c>
      <c r="J53" s="9" t="s">
        <v>74</v>
      </c>
      <c r="K53" s="14" t="str">
        <f t="shared" si="0"/>
        <v/>
      </c>
    </row>
    <row r="54" spans="2:11" ht="30" customHeight="1">
      <c r="B54" s="17">
        <v>50</v>
      </c>
      <c r="C54" s="20" t="s">
        <v>74</v>
      </c>
      <c r="D54" s="9"/>
      <c r="E54" s="40"/>
      <c r="F54" s="40"/>
      <c r="G54" s="40"/>
      <c r="H54" s="10" t="s">
        <v>74</v>
      </c>
      <c r="I54" s="10" t="s">
        <v>74</v>
      </c>
      <c r="J54" s="9" t="s">
        <v>74</v>
      </c>
      <c r="K54" s="14" t="str">
        <f t="shared" si="0"/>
        <v/>
      </c>
    </row>
    <row r="55" spans="2:11" ht="30" customHeight="1"/>
    <row r="56" spans="2:11" ht="30" customHeight="1"/>
    <row r="57" spans="2:11" ht="30" customHeight="1"/>
    <row r="58" spans="2:11" ht="30" customHeight="1"/>
    <row r="59" spans="2:11" ht="30" customHeight="1"/>
    <row r="60" spans="2:11" ht="30" customHeight="1"/>
    <row r="61" spans="2:11" ht="30" customHeight="1"/>
    <row r="62" spans="2:11" ht="30" customHeight="1"/>
    <row r="63" spans="2:11" ht="30" customHeight="1"/>
    <row r="64" spans="2:11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</sheetData>
  <sheetProtection selectLockedCells="1"/>
  <autoFilter ref="C4:J54"/>
  <conditionalFormatting sqref="J5:J54">
    <cfRule type="cellIs" dxfId="9" priority="3" operator="equal">
      <formula>"Concluído com Atraso"</formula>
    </cfRule>
    <cfRule type="cellIs" dxfId="8" priority="4" operator="equal">
      <formula>"Não Iniciado"</formula>
    </cfRule>
    <cfRule type="cellIs" dxfId="7" priority="5" operator="equal">
      <formula>"Atrasado"</formula>
    </cfRule>
    <cfRule type="cellIs" dxfId="6" priority="6" operator="equal">
      <formula>"Em Andamento"</formula>
    </cfRule>
    <cfRule type="cellIs" dxfId="5" priority="7" operator="equal">
      <formula>"Concluído"</formula>
    </cfRule>
  </conditionalFormatting>
  <conditionalFormatting sqref="C5:I54">
    <cfRule type="notContainsBlanks" dxfId="4" priority="9" stopIfTrue="1">
      <formula>LEN(TRIM(C5))&gt;0</formula>
    </cfRule>
  </conditionalFormatting>
  <pageMargins left="0.7" right="0.7" top="0.75" bottom="0.75" header="0.3" footer="0.3"/>
  <pageSetup paperSize="9" scale="53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>
    <pageSetUpPr fitToPage="1"/>
  </sheetPr>
  <dimension ref="B1:AA534"/>
  <sheetViews>
    <sheetView showGridLines="0" zoomScale="90" zoomScaleNormal="90" zoomScalePageLayoutView="80" workbookViewId="0">
      <pane ySplit="2" topLeftCell="A3" activePane="bottomLeft" state="frozen"/>
      <selection pane="bottomLeft" activeCell="E5" sqref="E5"/>
    </sheetView>
  </sheetViews>
  <sheetFormatPr defaultColWidth="11" defaultRowHeight="15.75"/>
  <cols>
    <col min="1" max="1" width="2.125" style="1" customWidth="1"/>
    <col min="2" max="2" width="1" style="14" customWidth="1"/>
    <col min="3" max="3" width="26.25" style="1" customWidth="1"/>
    <col min="4" max="4" width="26.5" style="1" customWidth="1"/>
    <col min="5" max="5" width="8.625" style="1" customWidth="1"/>
    <col min="6" max="6" width="21.625" style="1" customWidth="1"/>
    <col min="7" max="7" width="26.5" style="1" customWidth="1"/>
    <col min="8" max="8" width="5" style="1" customWidth="1"/>
    <col min="9" max="9" width="14.25" style="1" customWidth="1"/>
    <col min="10" max="10" width="20.25" style="1" customWidth="1"/>
    <col min="11" max="23" width="10.75" style="1" customWidth="1"/>
    <col min="24" max="24" width="37.125" style="1" bestFit="1" customWidth="1"/>
    <col min="25" max="26" width="26.5" style="1" bestFit="1" customWidth="1"/>
    <col min="27" max="27" width="5" style="1" customWidth="1"/>
    <col min="28" max="16384" width="11" style="1"/>
  </cols>
  <sheetData>
    <row r="1" spans="2:13" s="7" customFormat="1" ht="39" customHeight="1">
      <c r="B1" s="18"/>
      <c r="E1" s="2"/>
      <c r="F1" s="2"/>
      <c r="G1" s="2"/>
      <c r="H1" s="2"/>
      <c r="I1" s="2"/>
    </row>
    <row r="2" spans="2:13" s="56" customFormat="1" ht="30" customHeight="1">
      <c r="B2" s="57"/>
      <c r="C2" s="54"/>
      <c r="D2" s="55"/>
      <c r="E2" s="55"/>
      <c r="F2" s="55"/>
      <c r="G2" s="55"/>
      <c r="H2" s="55"/>
      <c r="I2" s="55"/>
      <c r="J2" s="55"/>
    </row>
    <row r="3" spans="2:13" ht="18" customHeight="1" thickBot="1">
      <c r="C3" s="3"/>
      <c r="D3" s="4"/>
      <c r="E3" s="4"/>
      <c r="F3" s="4"/>
      <c r="G3" s="11"/>
      <c r="H3" s="4"/>
      <c r="I3" s="4"/>
      <c r="J3" s="4"/>
    </row>
    <row r="4" spans="2:13" ht="30.75" customHeight="1" thickTop="1">
      <c r="C4" s="8" t="s">
        <v>27</v>
      </c>
      <c r="D4" s="8" t="s">
        <v>29</v>
      </c>
      <c r="E4" s="8" t="s">
        <v>48</v>
      </c>
      <c r="F4" s="8" t="s">
        <v>28</v>
      </c>
    </row>
    <row r="5" spans="2:13" ht="48" customHeight="1">
      <c r="B5" s="14">
        <f t="shared" ref="B5:E9" si="0">X46</f>
        <v>1</v>
      </c>
      <c r="C5" s="20" t="str">
        <f t="shared" si="0"/>
        <v>Sistema não funciona</v>
      </c>
      <c r="D5" s="20" t="str">
        <f t="shared" si="0"/>
        <v>Atraso na produção</v>
      </c>
      <c r="E5" s="17">
        <f t="shared" si="0"/>
        <v>16</v>
      </c>
      <c r="F5" s="20" t="str">
        <f>VLOOKUP(B5,AC!B5:C54,2,0)</f>
        <v>Manutenção do servidor</v>
      </c>
    </row>
    <row r="6" spans="2:13" ht="48" customHeight="1">
      <c r="B6" s="14">
        <f t="shared" si="0"/>
        <v>2</v>
      </c>
      <c r="C6" s="20" t="str">
        <f t="shared" si="0"/>
        <v>Emplacamento incorreto</v>
      </c>
      <c r="D6" s="20" t="str">
        <f t="shared" si="0"/>
        <v>Perda de qualidade do produto</v>
      </c>
      <c r="E6" s="17">
        <f t="shared" si="0"/>
        <v>126</v>
      </c>
      <c r="F6" s="39" t="str">
        <f>VLOOKUP(B6,AC!B6:C55,2,0)</f>
        <v>Orientação para emplacar</v>
      </c>
    </row>
    <row r="7" spans="2:13" ht="48" customHeight="1">
      <c r="B7" s="14">
        <f t="shared" si="0"/>
        <v>3</v>
      </c>
      <c r="C7" s="20" t="str">
        <f t="shared" si="0"/>
        <v>Despedício de insumos</v>
      </c>
      <c r="D7" s="20" t="str">
        <f t="shared" si="0"/>
        <v>Aumento de custo</v>
      </c>
      <c r="E7" s="17">
        <f t="shared" si="0"/>
        <v>12</v>
      </c>
      <c r="F7" s="39" t="str">
        <f>VLOOKUP(B7,AC!B7:C56,2,0)</f>
        <v>Diminuir insumos usados</v>
      </c>
    </row>
    <row r="8" spans="2:13" ht="48" customHeight="1">
      <c r="B8" s="14">
        <f t="shared" si="0"/>
        <v>4</v>
      </c>
      <c r="C8" s="20" t="str">
        <f t="shared" si="0"/>
        <v>Atraso na entrega do doc</v>
      </c>
      <c r="D8" s="20" t="str">
        <f t="shared" si="0"/>
        <v>Pgto. Adicional de despesas</v>
      </c>
      <c r="E8" s="17">
        <f t="shared" si="0"/>
        <v>4</v>
      </c>
      <c r="F8" s="39" t="str">
        <f>VLOOKUP(B8,AC!B8:C57,2,0)</f>
        <v>Acompanhamento visível</v>
      </c>
    </row>
    <row r="9" spans="2:13" ht="48" customHeight="1">
      <c r="B9" s="14">
        <f t="shared" si="0"/>
        <v>5</v>
      </c>
      <c r="C9" s="20" t="str">
        <f t="shared" si="0"/>
        <v>Falta de intr. Motoboy</v>
      </c>
      <c r="D9" s="20" t="str">
        <f t="shared" si="0"/>
        <v>Não realizar a entrega/retirada</v>
      </c>
      <c r="E9" s="17">
        <f t="shared" si="0"/>
        <v>192</v>
      </c>
      <c r="F9" s="39" t="str">
        <f>VLOOKUP(B9,AC!B9:C58,2,0)</f>
        <v>Identificação correta da atividade</v>
      </c>
    </row>
    <row r="10" spans="2:13" ht="30" customHeight="1"/>
    <row r="11" spans="2:13" ht="30" customHeight="1">
      <c r="I11"/>
      <c r="J11"/>
      <c r="K11"/>
      <c r="L11"/>
      <c r="M11"/>
    </row>
    <row r="12" spans="2:13" ht="30" customHeight="1">
      <c r="I12"/>
      <c r="J12"/>
      <c r="K12"/>
      <c r="L12"/>
      <c r="M12"/>
    </row>
    <row r="13" spans="2:13" ht="30" customHeight="1">
      <c r="I13"/>
      <c r="J13"/>
      <c r="K13"/>
      <c r="L13"/>
      <c r="M13"/>
    </row>
    <row r="14" spans="2:13" ht="30" customHeight="1">
      <c r="I14"/>
      <c r="J14"/>
      <c r="K14"/>
      <c r="L14"/>
      <c r="M14"/>
    </row>
    <row r="15" spans="2:13" ht="30" customHeight="1">
      <c r="I15"/>
      <c r="J15"/>
      <c r="K15"/>
      <c r="L15"/>
      <c r="M15"/>
    </row>
    <row r="16" spans="2:13" ht="30" customHeight="1">
      <c r="I16"/>
      <c r="J16"/>
      <c r="K16"/>
      <c r="L16"/>
      <c r="M16"/>
    </row>
    <row r="17" spans="6:13" ht="30" customHeight="1">
      <c r="I17"/>
      <c r="J17"/>
      <c r="K17"/>
      <c r="L17"/>
      <c r="M17"/>
    </row>
    <row r="18" spans="6:13" ht="30" customHeight="1">
      <c r="F18"/>
      <c r="G18"/>
      <c r="H18"/>
      <c r="I18"/>
      <c r="J18"/>
      <c r="K18"/>
      <c r="L18"/>
      <c r="M18"/>
    </row>
    <row r="19" spans="6:13" ht="30" customHeight="1">
      <c r="F19"/>
      <c r="G19"/>
      <c r="H19"/>
      <c r="I19"/>
      <c r="J19"/>
      <c r="K19"/>
      <c r="L19"/>
      <c r="M19"/>
    </row>
    <row r="20" spans="6:13" ht="30" customHeight="1">
      <c r="F20"/>
      <c r="G20"/>
      <c r="H20"/>
      <c r="I20"/>
      <c r="J20"/>
      <c r="K20"/>
      <c r="L20"/>
      <c r="M20"/>
    </row>
    <row r="21" spans="6:13" ht="30" customHeight="1">
      <c r="F21"/>
      <c r="G21"/>
      <c r="H21"/>
      <c r="I21"/>
      <c r="J21"/>
      <c r="K21"/>
      <c r="L21"/>
      <c r="M21"/>
    </row>
    <row r="22" spans="6:13" ht="30" customHeight="1">
      <c r="F22"/>
      <c r="G22"/>
      <c r="H22"/>
      <c r="I22"/>
      <c r="J22"/>
      <c r="K22"/>
      <c r="L22"/>
      <c r="M22"/>
    </row>
    <row r="23" spans="6:13" ht="30" customHeight="1">
      <c r="F23"/>
      <c r="G23"/>
      <c r="H23"/>
      <c r="I23"/>
      <c r="J23"/>
      <c r="K23"/>
      <c r="L23"/>
      <c r="M23"/>
    </row>
    <row r="24" spans="6:13" ht="30" customHeight="1">
      <c r="F24"/>
      <c r="G24"/>
      <c r="H24"/>
      <c r="I24"/>
      <c r="J24"/>
      <c r="K24"/>
      <c r="L24"/>
    </row>
    <row r="25" spans="6:13" ht="30" customHeight="1"/>
    <row r="26" spans="6:13" ht="30" customHeight="1"/>
    <row r="27" spans="6:13" ht="30" customHeight="1"/>
    <row r="28" spans="6:13" ht="30" customHeight="1"/>
    <row r="29" spans="6:13" ht="30" customHeight="1"/>
    <row r="30" spans="6:13" ht="30" customHeight="1"/>
    <row r="31" spans="6:13" ht="30" customHeight="1"/>
    <row r="32" spans="6:13" ht="30" customHeight="1"/>
    <row r="33" spans="24:27" ht="30" customHeight="1"/>
    <row r="34" spans="24:27" ht="30" customHeight="1"/>
    <row r="35" spans="24:27" ht="30" customHeight="1"/>
    <row r="36" spans="24:27" ht="30" customHeight="1"/>
    <row r="37" spans="24:27" ht="30" customHeight="1"/>
    <row r="38" spans="24:27" ht="30" customHeight="1"/>
    <row r="39" spans="24:27" ht="30" customHeight="1"/>
    <row r="40" spans="24:27" ht="30" customHeight="1"/>
    <row r="41" spans="24:27" ht="30" customHeight="1"/>
    <row r="42" spans="24:27" ht="30" customHeight="1"/>
    <row r="43" spans="24:27" ht="30" customHeight="1"/>
    <row r="44" spans="24:27" ht="30" customHeight="1">
      <c r="X44" s="63" t="s">
        <v>92</v>
      </c>
      <c r="Y44" s="62"/>
      <c r="Z44" s="62"/>
      <c r="AA44" s="65"/>
    </row>
    <row r="45" spans="24:27" ht="30" customHeight="1">
      <c r="X45" s="63" t="s">
        <v>26</v>
      </c>
      <c r="Y45" s="63" t="s">
        <v>3</v>
      </c>
      <c r="Z45" s="63" t="s">
        <v>4</v>
      </c>
      <c r="AA45" s="65" t="s">
        <v>47</v>
      </c>
    </row>
    <row r="46" spans="24:27" ht="30" customHeight="1">
      <c r="X46" s="61">
        <v>1</v>
      </c>
      <c r="Y46" s="61" t="s">
        <v>59</v>
      </c>
      <c r="Z46" s="61" t="s">
        <v>58</v>
      </c>
      <c r="AA46" s="66">
        <v>16</v>
      </c>
    </row>
    <row r="47" spans="24:27" ht="30" customHeight="1">
      <c r="X47" s="61">
        <v>2</v>
      </c>
      <c r="Y47" s="61" t="s">
        <v>77</v>
      </c>
      <c r="Z47" s="61" t="s">
        <v>57</v>
      </c>
      <c r="AA47" s="66">
        <v>126</v>
      </c>
    </row>
    <row r="48" spans="24:27" ht="30" customHeight="1">
      <c r="X48" s="61">
        <v>3</v>
      </c>
      <c r="Y48" s="61" t="s">
        <v>62</v>
      </c>
      <c r="Z48" s="61" t="s">
        <v>61</v>
      </c>
      <c r="AA48" s="66">
        <v>12</v>
      </c>
    </row>
    <row r="49" spans="24:27" ht="30" customHeight="1">
      <c r="X49" s="61">
        <v>4</v>
      </c>
      <c r="Y49" s="61" t="s">
        <v>78</v>
      </c>
      <c r="Z49" s="61" t="s">
        <v>79</v>
      </c>
      <c r="AA49" s="66">
        <v>4</v>
      </c>
    </row>
    <row r="50" spans="24:27" ht="30" customHeight="1">
      <c r="X50" s="61">
        <v>5</v>
      </c>
      <c r="Y50" s="61" t="s">
        <v>80</v>
      </c>
      <c r="Z50" s="61" t="s">
        <v>81</v>
      </c>
      <c r="AA50" s="66">
        <v>192</v>
      </c>
    </row>
    <row r="51" spans="24:27" ht="30" customHeight="1">
      <c r="X51" s="61">
        <v>6</v>
      </c>
      <c r="Y51" s="61" t="s">
        <v>91</v>
      </c>
      <c r="Z51" s="61" t="s">
        <v>91</v>
      </c>
      <c r="AA51" s="66">
        <v>0</v>
      </c>
    </row>
    <row r="52" spans="24:27" ht="30" customHeight="1">
      <c r="X52" s="61">
        <v>7</v>
      </c>
      <c r="Y52" s="61" t="s">
        <v>91</v>
      </c>
      <c r="Z52" s="61" t="s">
        <v>91</v>
      </c>
      <c r="AA52" s="66">
        <v>0</v>
      </c>
    </row>
    <row r="53" spans="24:27" ht="30" customHeight="1">
      <c r="X53" s="61">
        <v>8</v>
      </c>
      <c r="Y53" s="61" t="s">
        <v>91</v>
      </c>
      <c r="Z53" s="61" t="s">
        <v>91</v>
      </c>
      <c r="AA53" s="66">
        <v>0</v>
      </c>
    </row>
    <row r="54" spans="24:27" ht="30" customHeight="1">
      <c r="X54" s="61">
        <v>9</v>
      </c>
      <c r="Y54" s="61" t="s">
        <v>91</v>
      </c>
      <c r="Z54" s="61" t="s">
        <v>91</v>
      </c>
      <c r="AA54" s="66">
        <v>0</v>
      </c>
    </row>
    <row r="55" spans="24:27" ht="30" customHeight="1">
      <c r="X55" s="61">
        <v>10</v>
      </c>
      <c r="Y55" s="61" t="s">
        <v>91</v>
      </c>
      <c r="Z55" s="61" t="s">
        <v>91</v>
      </c>
      <c r="AA55" s="66">
        <v>0</v>
      </c>
    </row>
    <row r="56" spans="24:27" ht="30" customHeight="1">
      <c r="X56" s="61">
        <v>11</v>
      </c>
      <c r="Y56" s="61" t="s">
        <v>91</v>
      </c>
      <c r="Z56" s="61" t="s">
        <v>91</v>
      </c>
      <c r="AA56" s="66">
        <v>0</v>
      </c>
    </row>
    <row r="57" spans="24:27" ht="30" customHeight="1">
      <c r="X57" s="61">
        <v>12</v>
      </c>
      <c r="Y57" s="61" t="s">
        <v>91</v>
      </c>
      <c r="Z57" s="61" t="s">
        <v>91</v>
      </c>
      <c r="AA57" s="66">
        <v>0</v>
      </c>
    </row>
    <row r="58" spans="24:27" ht="30" customHeight="1">
      <c r="X58" s="61">
        <v>13</v>
      </c>
      <c r="Y58" s="61" t="s">
        <v>91</v>
      </c>
      <c r="Z58" s="61" t="s">
        <v>91</v>
      </c>
      <c r="AA58" s="66">
        <v>0</v>
      </c>
    </row>
    <row r="59" spans="24:27" ht="30" customHeight="1">
      <c r="X59" s="61">
        <v>14</v>
      </c>
      <c r="Y59" s="61" t="s">
        <v>91</v>
      </c>
      <c r="Z59" s="61" t="s">
        <v>91</v>
      </c>
      <c r="AA59" s="66">
        <v>0</v>
      </c>
    </row>
    <row r="60" spans="24:27" ht="30" customHeight="1">
      <c r="X60" s="61">
        <v>15</v>
      </c>
      <c r="Y60" s="61" t="s">
        <v>91</v>
      </c>
      <c r="Z60" s="61" t="s">
        <v>91</v>
      </c>
      <c r="AA60" s="66">
        <v>0</v>
      </c>
    </row>
    <row r="61" spans="24:27" ht="30" customHeight="1">
      <c r="X61" s="61">
        <v>16</v>
      </c>
      <c r="Y61" s="61" t="s">
        <v>91</v>
      </c>
      <c r="Z61" s="61" t="s">
        <v>91</v>
      </c>
      <c r="AA61" s="66">
        <v>0</v>
      </c>
    </row>
    <row r="62" spans="24:27" ht="30" customHeight="1">
      <c r="X62" s="61">
        <v>17</v>
      </c>
      <c r="Y62" s="61" t="s">
        <v>91</v>
      </c>
      <c r="Z62" s="61" t="s">
        <v>91</v>
      </c>
      <c r="AA62" s="66">
        <v>0</v>
      </c>
    </row>
    <row r="63" spans="24:27" ht="30" customHeight="1">
      <c r="X63" s="61">
        <v>18</v>
      </c>
      <c r="Y63" s="61" t="s">
        <v>91</v>
      </c>
      <c r="Z63" s="61" t="s">
        <v>91</v>
      </c>
      <c r="AA63" s="66">
        <v>0</v>
      </c>
    </row>
    <row r="64" spans="24:27" ht="30" customHeight="1">
      <c r="X64" s="61">
        <v>19</v>
      </c>
      <c r="Y64" s="61" t="s">
        <v>91</v>
      </c>
      <c r="Z64" s="61" t="s">
        <v>91</v>
      </c>
      <c r="AA64" s="66">
        <v>0</v>
      </c>
    </row>
    <row r="65" spans="24:27" ht="30" customHeight="1">
      <c r="X65" s="61">
        <v>20</v>
      </c>
      <c r="Y65" s="61" t="s">
        <v>91</v>
      </c>
      <c r="Z65" s="61" t="s">
        <v>91</v>
      </c>
      <c r="AA65" s="66">
        <v>0</v>
      </c>
    </row>
    <row r="66" spans="24:27" ht="30" customHeight="1">
      <c r="X66" s="61">
        <v>21</v>
      </c>
      <c r="Y66" s="61" t="s">
        <v>91</v>
      </c>
      <c r="Z66" s="61" t="s">
        <v>91</v>
      </c>
      <c r="AA66" s="66">
        <v>0</v>
      </c>
    </row>
    <row r="67" spans="24:27" ht="30" customHeight="1">
      <c r="X67" s="61">
        <v>22</v>
      </c>
      <c r="Y67" s="61" t="s">
        <v>91</v>
      </c>
      <c r="Z67" s="61" t="s">
        <v>91</v>
      </c>
      <c r="AA67" s="66">
        <v>0</v>
      </c>
    </row>
    <row r="68" spans="24:27" ht="30" customHeight="1">
      <c r="X68" s="61">
        <v>23</v>
      </c>
      <c r="Y68" s="61" t="s">
        <v>91</v>
      </c>
      <c r="Z68" s="61" t="s">
        <v>91</v>
      </c>
      <c r="AA68" s="66">
        <v>0</v>
      </c>
    </row>
    <row r="69" spans="24:27" ht="30" customHeight="1">
      <c r="X69" s="61">
        <v>24</v>
      </c>
      <c r="Y69" s="61" t="s">
        <v>91</v>
      </c>
      <c r="Z69" s="61" t="s">
        <v>91</v>
      </c>
      <c r="AA69" s="66">
        <v>0</v>
      </c>
    </row>
    <row r="70" spans="24:27" ht="30" customHeight="1">
      <c r="X70" s="61">
        <v>25</v>
      </c>
      <c r="Y70" s="61" t="s">
        <v>91</v>
      </c>
      <c r="Z70" s="61" t="s">
        <v>91</v>
      </c>
      <c r="AA70" s="66">
        <v>0</v>
      </c>
    </row>
    <row r="71" spans="24:27" ht="30" customHeight="1">
      <c r="X71" s="61">
        <v>26</v>
      </c>
      <c r="Y71" s="61" t="s">
        <v>91</v>
      </c>
      <c r="Z71" s="61" t="s">
        <v>91</v>
      </c>
      <c r="AA71" s="66">
        <v>0</v>
      </c>
    </row>
    <row r="72" spans="24:27" ht="30" customHeight="1">
      <c r="X72" s="61">
        <v>27</v>
      </c>
      <c r="Y72" s="61" t="s">
        <v>91</v>
      </c>
      <c r="Z72" s="61" t="s">
        <v>91</v>
      </c>
      <c r="AA72" s="66">
        <v>0</v>
      </c>
    </row>
    <row r="73" spans="24:27" ht="30" customHeight="1">
      <c r="X73" s="61">
        <v>28</v>
      </c>
      <c r="Y73" s="61" t="s">
        <v>91</v>
      </c>
      <c r="Z73" s="61" t="s">
        <v>91</v>
      </c>
      <c r="AA73" s="66">
        <v>0</v>
      </c>
    </row>
    <row r="74" spans="24:27" ht="30" customHeight="1">
      <c r="X74" s="61">
        <v>29</v>
      </c>
      <c r="Y74" s="61" t="s">
        <v>91</v>
      </c>
      <c r="Z74" s="61" t="s">
        <v>91</v>
      </c>
      <c r="AA74" s="66">
        <v>0</v>
      </c>
    </row>
    <row r="75" spans="24:27" ht="30" customHeight="1">
      <c r="X75" s="61">
        <v>30</v>
      </c>
      <c r="Y75" s="61" t="s">
        <v>91</v>
      </c>
      <c r="Z75" s="61" t="s">
        <v>91</v>
      </c>
      <c r="AA75" s="66">
        <v>0</v>
      </c>
    </row>
    <row r="76" spans="24:27" ht="30" customHeight="1">
      <c r="X76" s="61">
        <v>31</v>
      </c>
      <c r="Y76" s="61" t="s">
        <v>91</v>
      </c>
      <c r="Z76" s="61" t="s">
        <v>91</v>
      </c>
      <c r="AA76" s="66">
        <v>0</v>
      </c>
    </row>
    <row r="77" spans="24:27" ht="30" customHeight="1">
      <c r="X77" s="61">
        <v>32</v>
      </c>
      <c r="Y77" s="61" t="s">
        <v>91</v>
      </c>
      <c r="Z77" s="61" t="s">
        <v>91</v>
      </c>
      <c r="AA77" s="66">
        <v>0</v>
      </c>
    </row>
    <row r="78" spans="24:27" ht="30" customHeight="1">
      <c r="X78" s="61">
        <v>33</v>
      </c>
      <c r="Y78" s="61" t="s">
        <v>91</v>
      </c>
      <c r="Z78" s="61" t="s">
        <v>91</v>
      </c>
      <c r="AA78" s="66">
        <v>0</v>
      </c>
    </row>
    <row r="79" spans="24:27" ht="30" customHeight="1">
      <c r="X79" s="61">
        <v>34</v>
      </c>
      <c r="Y79" s="61" t="s">
        <v>91</v>
      </c>
      <c r="Z79" s="61" t="s">
        <v>91</v>
      </c>
      <c r="AA79" s="66">
        <v>0</v>
      </c>
    </row>
    <row r="80" spans="24:27" ht="30" customHeight="1">
      <c r="X80" s="61">
        <v>35</v>
      </c>
      <c r="Y80" s="61" t="s">
        <v>91</v>
      </c>
      <c r="Z80" s="61" t="s">
        <v>91</v>
      </c>
      <c r="AA80" s="66">
        <v>0</v>
      </c>
    </row>
    <row r="81" spans="24:27" ht="30" customHeight="1">
      <c r="X81" s="61">
        <v>36</v>
      </c>
      <c r="Y81" s="61" t="s">
        <v>91</v>
      </c>
      <c r="Z81" s="61" t="s">
        <v>91</v>
      </c>
      <c r="AA81" s="66">
        <v>0</v>
      </c>
    </row>
    <row r="82" spans="24:27" ht="30" customHeight="1">
      <c r="X82" s="61">
        <v>37</v>
      </c>
      <c r="Y82" s="61" t="s">
        <v>91</v>
      </c>
      <c r="Z82" s="61" t="s">
        <v>91</v>
      </c>
      <c r="AA82" s="66">
        <v>0</v>
      </c>
    </row>
    <row r="83" spans="24:27" ht="30" customHeight="1">
      <c r="X83" s="61">
        <v>38</v>
      </c>
      <c r="Y83" s="61" t="s">
        <v>91</v>
      </c>
      <c r="Z83" s="61" t="s">
        <v>91</v>
      </c>
      <c r="AA83" s="66">
        <v>0</v>
      </c>
    </row>
    <row r="84" spans="24:27" ht="30" customHeight="1">
      <c r="X84" s="61">
        <v>39</v>
      </c>
      <c r="Y84" s="61" t="s">
        <v>91</v>
      </c>
      <c r="Z84" s="61" t="s">
        <v>91</v>
      </c>
      <c r="AA84" s="66">
        <v>0</v>
      </c>
    </row>
    <row r="85" spans="24:27" ht="30" customHeight="1">
      <c r="X85" s="61">
        <v>40</v>
      </c>
      <c r="Y85" s="61" t="s">
        <v>91</v>
      </c>
      <c r="Z85" s="61" t="s">
        <v>91</v>
      </c>
      <c r="AA85" s="66">
        <v>0</v>
      </c>
    </row>
    <row r="86" spans="24:27" ht="30" customHeight="1">
      <c r="X86" s="61">
        <v>41</v>
      </c>
      <c r="Y86" s="61" t="s">
        <v>91</v>
      </c>
      <c r="Z86" s="61" t="s">
        <v>91</v>
      </c>
      <c r="AA86" s="66">
        <v>0</v>
      </c>
    </row>
    <row r="87" spans="24:27" ht="30" customHeight="1">
      <c r="X87" s="61">
        <v>42</v>
      </c>
      <c r="Y87" s="61" t="s">
        <v>91</v>
      </c>
      <c r="Z87" s="61" t="s">
        <v>91</v>
      </c>
      <c r="AA87" s="66">
        <v>0</v>
      </c>
    </row>
    <row r="88" spans="24:27" ht="30" customHeight="1">
      <c r="X88" s="61">
        <v>43</v>
      </c>
      <c r="Y88" s="61" t="s">
        <v>91</v>
      </c>
      <c r="Z88" s="61" t="s">
        <v>91</v>
      </c>
      <c r="AA88" s="66">
        <v>0</v>
      </c>
    </row>
    <row r="89" spans="24:27" ht="30" customHeight="1">
      <c r="X89" s="61">
        <v>44</v>
      </c>
      <c r="Y89" s="61" t="s">
        <v>91</v>
      </c>
      <c r="Z89" s="61" t="s">
        <v>91</v>
      </c>
      <c r="AA89" s="66">
        <v>0</v>
      </c>
    </row>
    <row r="90" spans="24:27" ht="30" customHeight="1">
      <c r="X90" s="61">
        <v>45</v>
      </c>
      <c r="Y90" s="61" t="s">
        <v>91</v>
      </c>
      <c r="Z90" s="61" t="s">
        <v>91</v>
      </c>
      <c r="AA90" s="66">
        <v>0</v>
      </c>
    </row>
    <row r="91" spans="24:27" ht="30" customHeight="1">
      <c r="X91" s="61">
        <v>46</v>
      </c>
      <c r="Y91" s="61" t="s">
        <v>91</v>
      </c>
      <c r="Z91" s="61" t="s">
        <v>91</v>
      </c>
      <c r="AA91" s="66">
        <v>0</v>
      </c>
    </row>
    <row r="92" spans="24:27" ht="30" customHeight="1">
      <c r="X92" s="61">
        <v>47</v>
      </c>
      <c r="Y92" s="61" t="s">
        <v>91</v>
      </c>
      <c r="Z92" s="61" t="s">
        <v>91</v>
      </c>
      <c r="AA92" s="66">
        <v>0</v>
      </c>
    </row>
    <row r="93" spans="24:27" ht="30" customHeight="1">
      <c r="X93" s="61">
        <v>48</v>
      </c>
      <c r="Y93" s="61" t="s">
        <v>91</v>
      </c>
      <c r="Z93" s="61" t="s">
        <v>91</v>
      </c>
      <c r="AA93" s="66">
        <v>0</v>
      </c>
    </row>
    <row r="94" spans="24:27" ht="30" customHeight="1">
      <c r="X94" s="61">
        <v>49</v>
      </c>
      <c r="Y94" s="61" t="s">
        <v>91</v>
      </c>
      <c r="Z94" s="61" t="s">
        <v>91</v>
      </c>
      <c r="AA94" s="66">
        <v>0</v>
      </c>
    </row>
    <row r="95" spans="24:27" ht="30" customHeight="1">
      <c r="X95" s="64">
        <v>50</v>
      </c>
      <c r="Y95" s="64" t="s">
        <v>91</v>
      </c>
      <c r="Z95" s="64" t="s">
        <v>91</v>
      </c>
      <c r="AA95" s="67">
        <v>0</v>
      </c>
    </row>
    <row r="96" spans="24:27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</sheetData>
  <sheetProtection selectLockedCells="1"/>
  <conditionalFormatting sqref="E5:E9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75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6">
    <pageSetUpPr fitToPage="1"/>
  </sheetPr>
  <dimension ref="C1:P533"/>
  <sheetViews>
    <sheetView showGridLines="0" zoomScale="90" zoomScaleNormal="90" zoomScalePageLayoutView="80" workbookViewId="0">
      <selection activeCell="D5" sqref="D5"/>
    </sheetView>
  </sheetViews>
  <sheetFormatPr defaultColWidth="11" defaultRowHeight="15.75"/>
  <cols>
    <col min="1" max="1" width="2.125" style="1" customWidth="1"/>
    <col min="2" max="2" width="1.375" style="1" customWidth="1"/>
    <col min="3" max="3" width="23.875" style="1" customWidth="1"/>
    <col min="4" max="16" width="11.375" style="1" customWidth="1"/>
    <col min="17" max="24" width="10.75" style="1" customWidth="1"/>
    <col min="25" max="16384" width="11" style="1"/>
  </cols>
  <sheetData>
    <row r="1" spans="3:16" s="12" customFormat="1" ht="39" customHeight="1">
      <c r="E1" s="2"/>
      <c r="F1" s="2"/>
      <c r="G1" s="2"/>
      <c r="H1" s="2"/>
      <c r="I1" s="2"/>
    </row>
    <row r="2" spans="3:16" s="56" customFormat="1" ht="30" customHeight="1">
      <c r="C2" s="54"/>
      <c r="D2" s="55"/>
      <c r="E2" s="55"/>
      <c r="F2" s="55"/>
      <c r="G2" s="55"/>
      <c r="H2" s="55"/>
      <c r="I2" s="55"/>
      <c r="J2" s="55"/>
    </row>
    <row r="3" spans="3:16" ht="15" customHeight="1" thickBot="1">
      <c r="C3" s="3"/>
      <c r="D3" s="4">
        <v>1</v>
      </c>
      <c r="E3" s="4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 s="4">
        <v>9</v>
      </c>
      <c r="M3" s="4">
        <v>10</v>
      </c>
      <c r="N3" s="4">
        <v>11</v>
      </c>
      <c r="O3" s="4">
        <v>12</v>
      </c>
    </row>
    <row r="4" spans="3:16" ht="30" customHeight="1" thickTop="1">
      <c r="C4" s="8" t="s">
        <v>30</v>
      </c>
      <c r="D4" s="8" t="s">
        <v>35</v>
      </c>
      <c r="E4" s="8" t="s">
        <v>36</v>
      </c>
      <c r="F4" s="8" t="s">
        <v>37</v>
      </c>
      <c r="G4" s="8" t="s">
        <v>38</v>
      </c>
      <c r="H4" s="8" t="s">
        <v>39</v>
      </c>
      <c r="I4" s="8" t="s">
        <v>40</v>
      </c>
      <c r="J4" s="8" t="s">
        <v>41</v>
      </c>
      <c r="K4" s="8" t="s">
        <v>42</v>
      </c>
      <c r="L4" s="8" t="s">
        <v>43</v>
      </c>
      <c r="M4" s="8" t="s">
        <v>44</v>
      </c>
      <c r="N4" s="8" t="s">
        <v>45</v>
      </c>
      <c r="O4" s="8" t="s">
        <v>46</v>
      </c>
      <c r="P4" s="8" t="s">
        <v>47</v>
      </c>
    </row>
    <row r="5" spans="3:16" ht="27.75" customHeight="1">
      <c r="C5" s="16" t="s">
        <v>32</v>
      </c>
      <c r="D5" s="16">
        <f>COUNTIFS(AC!$K$5:$K$54,Rel_AC!D$3,AC!$J$5:$J$54,Rel_AC!$C5)</f>
        <v>0</v>
      </c>
      <c r="E5" s="16">
        <f>COUNTIFS(AC!$K$5:$K$54,Rel_AC!E$3,AC!$J$5:$J$54,Rel_AC!$C5)</f>
        <v>0</v>
      </c>
      <c r="F5" s="16">
        <f>COUNTIFS(AC!$K$5:$K$54,Rel_AC!F$3,AC!$J$5:$J$54,Rel_AC!$C5)</f>
        <v>0</v>
      </c>
      <c r="G5" s="16">
        <f>COUNTIFS(AC!$K$5:$K$54,Rel_AC!G$3,AC!$J$5:$J$54,Rel_AC!$C5)</f>
        <v>0</v>
      </c>
      <c r="H5" s="16">
        <f>COUNTIFS(AC!$K$5:$K$54,Rel_AC!H$3,AC!$J$5:$J$54,Rel_AC!$C5)</f>
        <v>0</v>
      </c>
      <c r="I5" s="16">
        <f>COUNTIFS(AC!$K$5:$K$54,Rel_AC!I$3,AC!$J$5:$J$54,Rel_AC!$C5)</f>
        <v>0</v>
      </c>
      <c r="J5" s="16">
        <f>COUNTIFS(AC!$K$5:$K$54,Rel_AC!J$3,AC!$J$5:$J$54,Rel_AC!$C5)</f>
        <v>0</v>
      </c>
      <c r="K5" s="16">
        <f>COUNTIFS(AC!$K$5:$K$54,Rel_AC!K$3,AC!$J$5:$J$54,Rel_AC!$C5)</f>
        <v>0</v>
      </c>
      <c r="L5" s="16">
        <f>COUNTIFS(AC!$K$5:$K$54,Rel_AC!L$3,AC!$J$5:$J$54,Rel_AC!$C5)</f>
        <v>0</v>
      </c>
      <c r="M5" s="16">
        <f>COUNTIFS(AC!$K$5:$K$54,Rel_AC!M$3,AC!$J$5:$J$54,Rel_AC!$C5)</f>
        <v>0</v>
      </c>
      <c r="N5" s="16">
        <f ca="1">COUNTIFS(AC!$K$5:$K$54,Rel_AC!N$3,AC!$J$5:$J$54,Rel_AC!$C5)</f>
        <v>0</v>
      </c>
      <c r="O5" s="16">
        <f>COUNTIFS(AC!$K$5:$K$54,Rel_AC!O$3,AC!$J$5:$J$54,Rel_AC!$C5)</f>
        <v>0</v>
      </c>
      <c r="P5" s="21">
        <f ca="1">SUM(D5:O5)</f>
        <v>0</v>
      </c>
    </row>
    <row r="6" spans="3:16" ht="27.75" customHeight="1">
      <c r="C6" s="16" t="s">
        <v>31</v>
      </c>
      <c r="D6" s="16">
        <f>COUNTIFS(AC!$K$5:$K$54,Rel_AC!D$3,AC!$J$5:$J$54,Rel_AC!$C6)</f>
        <v>0</v>
      </c>
      <c r="E6" s="16">
        <f>COUNTIFS(AC!$K$5:$K$54,Rel_AC!E$3,AC!$J$5:$J$54,Rel_AC!$C6)</f>
        <v>0</v>
      </c>
      <c r="F6" s="16">
        <f>COUNTIFS(AC!$K$5:$K$54,Rel_AC!F$3,AC!$J$5:$J$54,Rel_AC!$C6)</f>
        <v>0</v>
      </c>
      <c r="G6" s="16">
        <f>COUNTIFS(AC!$K$5:$K$54,Rel_AC!G$3,AC!$J$5:$J$54,Rel_AC!$C6)</f>
        <v>0</v>
      </c>
      <c r="H6" s="16">
        <f>COUNTIFS(AC!$K$5:$K$54,Rel_AC!H$3,AC!$J$5:$J$54,Rel_AC!$C6)</f>
        <v>0</v>
      </c>
      <c r="I6" s="16">
        <f>COUNTIFS(AC!$K$5:$K$54,Rel_AC!I$3,AC!$J$5:$J$54,Rel_AC!$C6)</f>
        <v>0</v>
      </c>
      <c r="J6" s="16">
        <f>COUNTIFS(AC!$K$5:$K$54,Rel_AC!J$3,AC!$J$5:$J$54,Rel_AC!$C6)</f>
        <v>0</v>
      </c>
      <c r="K6" s="16">
        <f>COUNTIFS(AC!$K$5:$K$54,Rel_AC!K$3,AC!$J$5:$J$54,Rel_AC!$C6)</f>
        <v>0</v>
      </c>
      <c r="L6" s="16">
        <f>COUNTIFS(AC!$K$5:$K$54,Rel_AC!L$3,AC!$J$5:$J$54,Rel_AC!$C6)</f>
        <v>0</v>
      </c>
      <c r="M6" s="16">
        <f>COUNTIFS(AC!$K$5:$K$54,Rel_AC!M$3,AC!$J$5:$J$54,Rel_AC!$C6)</f>
        <v>0</v>
      </c>
      <c r="N6" s="16">
        <f ca="1">COUNTIFS(AC!$K$5:$K$54,Rel_AC!N$3,AC!$J$5:$J$54,Rel_AC!$C6)</f>
        <v>1</v>
      </c>
      <c r="O6" s="16">
        <f>COUNTIFS(AC!$K$5:$K$54,Rel_AC!O$3,AC!$J$5:$J$54,Rel_AC!$C6)</f>
        <v>0</v>
      </c>
      <c r="P6" s="21">
        <f ca="1">SUM(D6:O6)</f>
        <v>1</v>
      </c>
    </row>
    <row r="7" spans="3:16" ht="27.75" customHeight="1">
      <c r="C7" s="16" t="s">
        <v>33</v>
      </c>
      <c r="D7" s="16">
        <f>COUNTIFS(AC!$K$5:$K$54,Rel_AC!D$3,AC!$J$5:$J$54,Rel_AC!$C7)</f>
        <v>0</v>
      </c>
      <c r="E7" s="16">
        <f>COUNTIFS(AC!$K$5:$K$54,Rel_AC!E$3,AC!$J$5:$J$54,Rel_AC!$C7)</f>
        <v>0</v>
      </c>
      <c r="F7" s="16">
        <f>COUNTIFS(AC!$K$5:$K$54,Rel_AC!F$3,AC!$J$5:$J$54,Rel_AC!$C7)</f>
        <v>0</v>
      </c>
      <c r="G7" s="16">
        <f>COUNTIFS(AC!$K$5:$K$54,Rel_AC!G$3,AC!$J$5:$J$54,Rel_AC!$C7)</f>
        <v>0</v>
      </c>
      <c r="H7" s="16">
        <f>COUNTIFS(AC!$K$5:$K$54,Rel_AC!H$3,AC!$J$5:$J$54,Rel_AC!$C7)</f>
        <v>0</v>
      </c>
      <c r="I7" s="16">
        <f>COUNTIFS(AC!$K$5:$K$54,Rel_AC!I$3,AC!$J$5:$J$54,Rel_AC!$C7)</f>
        <v>0</v>
      </c>
      <c r="J7" s="16">
        <f>COUNTIFS(AC!$K$5:$K$54,Rel_AC!J$3,AC!$J$5:$J$54,Rel_AC!$C7)</f>
        <v>0</v>
      </c>
      <c r="K7" s="16">
        <f>COUNTIFS(AC!$K$5:$K$54,Rel_AC!K$3,AC!$J$5:$J$54,Rel_AC!$C7)</f>
        <v>0</v>
      </c>
      <c r="L7" s="16">
        <f>COUNTIFS(AC!$K$5:$K$54,Rel_AC!L$3,AC!$J$5:$J$54,Rel_AC!$C7)</f>
        <v>0</v>
      </c>
      <c r="M7" s="16">
        <f>COUNTIFS(AC!$K$5:$K$54,Rel_AC!M$3,AC!$J$5:$J$54,Rel_AC!$C7)</f>
        <v>0</v>
      </c>
      <c r="N7" s="16">
        <f ca="1">COUNTIFS(AC!$K$5:$K$54,Rel_AC!N$3,AC!$J$5:$J$54,Rel_AC!$C7)</f>
        <v>1</v>
      </c>
      <c r="O7" s="16">
        <f>COUNTIFS(AC!$K$5:$K$54,Rel_AC!O$3,AC!$J$5:$J$54,Rel_AC!$C7)</f>
        <v>0</v>
      </c>
      <c r="P7" s="21">
        <f ca="1">SUM(D7:O7)</f>
        <v>1</v>
      </c>
    </row>
    <row r="8" spans="3:16" ht="27.75" customHeight="1">
      <c r="C8" s="16" t="s">
        <v>34</v>
      </c>
      <c r="D8" s="16">
        <f>COUNTIFS(AC!$K$5:$K$54,Rel_AC!D$3,AC!$J$5:$J$54,Rel_AC!$C8)</f>
        <v>0</v>
      </c>
      <c r="E8" s="16">
        <f>COUNTIFS(AC!$K$5:$K$54,Rel_AC!E$3,AC!$J$5:$J$54,Rel_AC!$C8)</f>
        <v>0</v>
      </c>
      <c r="F8" s="16">
        <f>COUNTIFS(AC!$K$5:$K$54,Rel_AC!F$3,AC!$J$5:$J$54,Rel_AC!$C8)</f>
        <v>0</v>
      </c>
      <c r="G8" s="16">
        <f>COUNTIFS(AC!$K$5:$K$54,Rel_AC!G$3,AC!$J$5:$J$54,Rel_AC!$C8)</f>
        <v>0</v>
      </c>
      <c r="H8" s="16">
        <f>COUNTIFS(AC!$K$5:$K$54,Rel_AC!H$3,AC!$J$5:$J$54,Rel_AC!$C8)</f>
        <v>0</v>
      </c>
      <c r="I8" s="16">
        <f>COUNTIFS(AC!$K$5:$K$54,Rel_AC!I$3,AC!$J$5:$J$54,Rel_AC!$C8)</f>
        <v>0</v>
      </c>
      <c r="J8" s="16">
        <f>COUNTIFS(AC!$K$5:$K$54,Rel_AC!J$3,AC!$J$5:$J$54,Rel_AC!$C8)</f>
        <v>0</v>
      </c>
      <c r="K8" s="16">
        <f>COUNTIFS(AC!$K$5:$K$54,Rel_AC!K$3,AC!$J$5:$J$54,Rel_AC!$C8)</f>
        <v>0</v>
      </c>
      <c r="L8" s="16">
        <f>COUNTIFS(AC!$K$5:$K$54,Rel_AC!L$3,AC!$J$5:$J$54,Rel_AC!$C8)</f>
        <v>0</v>
      </c>
      <c r="M8" s="16">
        <f>COUNTIFS(AC!$K$5:$K$54,Rel_AC!M$3,AC!$J$5:$J$54,Rel_AC!$C8)</f>
        <v>0</v>
      </c>
      <c r="N8" s="16">
        <f ca="1">COUNTIFS(AC!$K$5:$K$54,Rel_AC!N$3,AC!$J$5:$J$54,Rel_AC!$C8)</f>
        <v>3</v>
      </c>
      <c r="O8" s="16">
        <f>COUNTIFS(AC!$K$5:$K$54,Rel_AC!O$3,AC!$J$5:$J$54,Rel_AC!$C8)</f>
        <v>0</v>
      </c>
      <c r="P8" s="21">
        <f ca="1">SUM(D8:O8)</f>
        <v>3</v>
      </c>
    </row>
    <row r="9" spans="3:16" ht="30" customHeight="1"/>
    <row r="10" spans="3:16" ht="30" customHeight="1"/>
    <row r="11" spans="3:16" ht="30" customHeight="1"/>
    <row r="12" spans="3:16" ht="30" customHeight="1"/>
    <row r="13" spans="3:16" ht="30" customHeight="1"/>
    <row r="14" spans="3:16" ht="30" customHeight="1"/>
    <row r="15" spans="3:16" ht="30" customHeight="1"/>
    <row r="16" spans="3:16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</sheetData>
  <sheetProtection selectLockedCells="1"/>
  <pageMargins left="0.7" right="0.7" top="0.75" bottom="0.75" header="0.3" footer="0.3"/>
  <pageSetup paperSize="9" scale="70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C1:J534"/>
  <sheetViews>
    <sheetView showGridLines="0" zoomScale="90" zoomScaleNormal="90" zoomScalePageLayoutView="80" workbookViewId="0">
      <selection activeCell="E8" sqref="E8:E11"/>
    </sheetView>
  </sheetViews>
  <sheetFormatPr defaultColWidth="11" defaultRowHeight="15.75"/>
  <cols>
    <col min="1" max="1" width="2.125" style="1" customWidth="1"/>
    <col min="2" max="2" width="1.375" style="1" customWidth="1"/>
    <col min="3" max="3" width="13.5" style="1" customWidth="1"/>
    <col min="4" max="5" width="14.75" style="1" customWidth="1"/>
    <col min="6" max="6" width="2.75" style="1" customWidth="1"/>
    <col min="7" max="7" width="16.125" style="1" customWidth="1"/>
    <col min="8" max="8" width="14.25" style="1" customWidth="1"/>
    <col min="9" max="9" width="16.125" style="1" customWidth="1"/>
    <col min="10" max="10" width="20.25" style="1" customWidth="1"/>
    <col min="11" max="11" width="16.125" style="1" customWidth="1"/>
    <col min="12" max="13" width="10.75" style="1" customWidth="1"/>
    <col min="14" max="14" width="16.125" style="1" customWidth="1"/>
    <col min="15" max="24" width="10.75" style="1" customWidth="1"/>
    <col min="25" max="16384" width="11" style="1"/>
  </cols>
  <sheetData>
    <row r="1" spans="3:10" s="7" customFormat="1" ht="39" customHeight="1">
      <c r="E1" s="2"/>
      <c r="F1" s="2"/>
      <c r="G1" s="2"/>
      <c r="H1" s="2"/>
      <c r="I1" s="2"/>
    </row>
    <row r="2" spans="3:10" s="56" customFormat="1" ht="30" customHeight="1">
      <c r="C2" s="54"/>
      <c r="D2" s="55"/>
      <c r="E2" s="55"/>
      <c r="F2" s="55"/>
      <c r="G2" s="55"/>
      <c r="H2" s="55"/>
      <c r="I2" s="55"/>
      <c r="J2" s="55"/>
    </row>
    <row r="3" spans="3:10" ht="15" customHeight="1">
      <c r="C3" s="3"/>
      <c r="D3" s="4"/>
      <c r="E3" s="4"/>
      <c r="F3" s="4"/>
      <c r="G3" s="11"/>
      <c r="H3" s="4"/>
      <c r="I3" s="4"/>
      <c r="J3" s="4"/>
    </row>
    <row r="4" spans="3:10" ht="28.5" customHeight="1">
      <c r="C4" s="77" t="s">
        <v>55</v>
      </c>
      <c r="D4" s="78"/>
      <c r="E4" s="79"/>
    </row>
    <row r="5" spans="3:10" ht="28.5" customHeight="1">
      <c r="C5" s="75" t="str">
        <f>G7&amp;":"&amp;SUM(D8:D11)</f>
        <v>3:5</v>
      </c>
      <c r="D5" s="80" t="str">
        <f>"A classificação que tem mais falhas registradas é a de "&amp;VLOOKUP(LARGE(D8:D11,1),$D$8:$F$11,3,FALSE)&amp;" com "&amp;G7&amp;" de "&amp;SUM(D8:D11)</f>
        <v>A classificação que tem mais falhas registradas é a de Risco Baixo com 3 de 5</v>
      </c>
      <c r="E5" s="81"/>
    </row>
    <row r="6" spans="3:10" ht="28.5" customHeight="1">
      <c r="C6" s="76"/>
      <c r="D6" s="82"/>
      <c r="E6" s="83"/>
    </row>
    <row r="7" spans="3:10" ht="12" customHeight="1">
      <c r="F7" s="14" t="str">
        <f>VLOOKUP(LARGE(D8:D11,1),$D$8:$F$11,3,FALSE)</f>
        <v>Risco Baixo</v>
      </c>
      <c r="G7" s="14">
        <f>VLOOKUP(F7,C8:D11,2,FALSE)</f>
        <v>3</v>
      </c>
    </row>
    <row r="8" spans="3:10" ht="41.25" customHeight="1" thickBot="1">
      <c r="C8" s="25" t="s">
        <v>54</v>
      </c>
      <c r="D8" s="27">
        <f>COUNTIF(FMEA!$J$5:$J$54,Dash!C8)</f>
        <v>1</v>
      </c>
      <c r="E8" s="30">
        <f>D8/SUM($D$8:$D$11)</f>
        <v>0.2</v>
      </c>
      <c r="F8" s="14" t="str">
        <f>C8</f>
        <v>Risco Crítico</v>
      </c>
    </row>
    <row r="9" spans="3:10" ht="41.25" customHeight="1" thickTop="1" thickBot="1">
      <c r="C9" s="25" t="s">
        <v>53</v>
      </c>
      <c r="D9" s="28">
        <f>COUNTIF(FMEA!$J$5:$J$54,Dash!C9)</f>
        <v>1</v>
      </c>
      <c r="E9" s="31">
        <f>D9/SUM($D$8:$D$11)</f>
        <v>0.2</v>
      </c>
      <c r="F9" s="14" t="str">
        <f>C9</f>
        <v>Risco Elevado</v>
      </c>
    </row>
    <row r="10" spans="3:10" ht="41.25" customHeight="1" thickTop="1" thickBot="1">
      <c r="C10" s="25" t="s">
        <v>56</v>
      </c>
      <c r="D10" s="29">
        <f>COUNTIF(FMEA!$J$5:$J$54,Dash!C10)</f>
        <v>0</v>
      </c>
      <c r="E10" s="32">
        <f>D10/SUM($D$8:$D$11)</f>
        <v>0</v>
      </c>
      <c r="F10" s="14" t="str">
        <f>C10</f>
        <v>Risco Moderado</v>
      </c>
    </row>
    <row r="11" spans="3:10" ht="41.25" customHeight="1" thickTop="1">
      <c r="C11" s="25" t="s">
        <v>52</v>
      </c>
      <c r="D11" s="26">
        <f>COUNTIF(FMEA!$J$5:$J$54,Dash!C11)</f>
        <v>3</v>
      </c>
      <c r="E11" s="33">
        <f>D11/SUM($D$8:$D$11)</f>
        <v>0.6</v>
      </c>
      <c r="F11" s="14" t="str">
        <f>C11</f>
        <v>Risco Baixo</v>
      </c>
    </row>
    <row r="12" spans="3:10" ht="30" customHeight="1">
      <c r="E12" s="14">
        <v>1</v>
      </c>
    </row>
    <row r="13" spans="3:10" ht="30" customHeight="1"/>
    <row r="14" spans="3:10" ht="30" customHeight="1"/>
    <row r="15" spans="3:10" ht="30" customHeight="1"/>
    <row r="16" spans="3:10" ht="30" customHeight="1"/>
    <row r="17" ht="30" customHeight="1"/>
    <row r="18" ht="30" customHeight="1"/>
    <row r="19" ht="30" customHeight="1"/>
    <row r="20" ht="30" customHeight="1"/>
    <row r="21" ht="30" customHeight="1"/>
    <row r="22" ht="30" customHeight="1"/>
    <row r="23" ht="30" customHeight="1"/>
    <row r="24" ht="30" customHeight="1"/>
    <row r="25" ht="30" customHeight="1"/>
    <row r="26" ht="30" customHeight="1"/>
    <row r="27" ht="30" customHeight="1"/>
    <row r="28" ht="30" customHeight="1"/>
    <row r="29" ht="30" customHeight="1"/>
    <row r="30" ht="30" customHeight="1"/>
    <row r="31" ht="30" customHeight="1"/>
    <row r="32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</sheetData>
  <sheetProtection selectLockedCells="1"/>
  <mergeCells count="3">
    <mergeCell ref="C5:C6"/>
    <mergeCell ref="C4:E4"/>
    <mergeCell ref="D5:E6"/>
  </mergeCells>
  <conditionalFormatting sqref="C5:C6">
    <cfRule type="expression" dxfId="3" priority="1">
      <formula>$F$7="Risco Crítico"</formula>
    </cfRule>
    <cfRule type="expression" dxfId="2" priority="2">
      <formula>$F$7="Risco Baixo"</formula>
    </cfRule>
    <cfRule type="expression" dxfId="1" priority="3">
      <formula>$F$7="Risco Moderado"</formula>
    </cfRule>
    <cfRule type="expression" dxfId="0" priority="4">
      <formula>$F$7="Risco Elevado"</formula>
    </cfRule>
  </conditionalFormatting>
  <pageMargins left="0.7" right="0.7" top="0.75" bottom="0.75" header="0.3" footer="0.3"/>
  <pageSetup paperSize="9" scale="68"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6:O307"/>
  <sheetViews>
    <sheetView showGridLines="0" workbookViewId="0">
      <pane ySplit="7" topLeftCell="A8" activePane="bottomLeft" state="frozen"/>
      <selection pane="bottomLeft" activeCell="B5" sqref="B5"/>
    </sheetView>
  </sheetViews>
  <sheetFormatPr defaultColWidth="35.75" defaultRowHeight="15.75"/>
  <cols>
    <col min="1" max="1" width="2.875" bestFit="1" customWidth="1"/>
    <col min="2" max="2" width="21.625" bestFit="1" customWidth="1"/>
    <col min="3" max="3" width="21" customWidth="1"/>
    <col min="4" max="4" width="7.25" bestFit="1" customWidth="1"/>
    <col min="5" max="6" width="7.875" bestFit="1" customWidth="1"/>
    <col min="7" max="7" width="7.375" bestFit="1" customWidth="1"/>
    <col min="8" max="8" width="7.75" bestFit="1" customWidth="1"/>
    <col min="9" max="9" width="7.375" bestFit="1" customWidth="1"/>
    <col min="10" max="10" width="6.875" bestFit="1" customWidth="1"/>
    <col min="11" max="11" width="7.625" bestFit="1" customWidth="1"/>
    <col min="12" max="12" width="7.25" bestFit="1" customWidth="1"/>
    <col min="13" max="13" width="7.5" bestFit="1" customWidth="1"/>
    <col min="14" max="14" width="7.75" bestFit="1" customWidth="1"/>
    <col min="15" max="15" width="7.625" bestFit="1" customWidth="1"/>
  </cols>
  <sheetData>
    <row r="6" spans="1:15" ht="69" customHeight="1" thickBot="1"/>
    <row r="7" spans="1:15" ht="16.5" thickTop="1">
      <c r="A7" s="15" t="s">
        <v>26</v>
      </c>
      <c r="B7" s="8" t="s">
        <v>3</v>
      </c>
      <c r="C7" s="15" t="s">
        <v>8</v>
      </c>
      <c r="D7" s="92">
        <v>43101</v>
      </c>
      <c r="E7" s="92">
        <v>43132</v>
      </c>
      <c r="F7" s="92">
        <v>43160</v>
      </c>
      <c r="G7" s="92">
        <v>43191</v>
      </c>
      <c r="H7" s="92">
        <v>43221</v>
      </c>
      <c r="I7" s="92">
        <v>43252</v>
      </c>
      <c r="J7" s="92">
        <v>43282</v>
      </c>
      <c r="K7" s="92">
        <v>43313</v>
      </c>
      <c r="L7" s="92">
        <v>43344</v>
      </c>
      <c r="M7" s="92">
        <v>43374</v>
      </c>
      <c r="N7" s="92">
        <v>43405</v>
      </c>
      <c r="O7" s="92">
        <v>43435</v>
      </c>
    </row>
    <row r="8" spans="1:15">
      <c r="A8" s="17">
        <v>1</v>
      </c>
      <c r="B8" t="str">
        <f>IF(FMEA!D5="","",FMEA!D5)</f>
        <v>Sistema não funciona</v>
      </c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</row>
    <row r="9" spans="1:15">
      <c r="A9" s="17">
        <v>2</v>
      </c>
      <c r="B9" t="str">
        <f>IF(FMEA!D6="","",FMEA!D6)</f>
        <v>Emplacamento incorreto</v>
      </c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</row>
    <row r="10" spans="1:15">
      <c r="A10" s="17">
        <v>3</v>
      </c>
      <c r="B10" t="str">
        <f>IF(FMEA!D7="","",FMEA!D7)</f>
        <v>Despedício de insumos</v>
      </c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</row>
    <row r="11" spans="1:15">
      <c r="A11" s="17">
        <v>4</v>
      </c>
      <c r="B11" t="str">
        <f>IF(FMEA!D8="","",FMEA!D8)</f>
        <v>Atraso na entrega do doc</v>
      </c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</row>
    <row r="12" spans="1:15">
      <c r="A12" s="17">
        <v>5</v>
      </c>
      <c r="B12" t="str">
        <f>IF(FMEA!D9="","",FMEA!D9)</f>
        <v>Falta de intr. Motoboy</v>
      </c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</row>
    <row r="13" spans="1:15">
      <c r="A13" s="17">
        <v>6</v>
      </c>
      <c r="B13" t="str">
        <f>IF(FMEA!D10="","",FMEA!D10)</f>
        <v/>
      </c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</row>
    <row r="14" spans="1:15">
      <c r="A14" s="17">
        <v>7</v>
      </c>
      <c r="B14" t="str">
        <f>IF(FMEA!D11="","",FMEA!D11)</f>
        <v/>
      </c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</row>
    <row r="15" spans="1:15">
      <c r="A15" s="17">
        <v>8</v>
      </c>
      <c r="B15" t="str">
        <f>IF(FMEA!D12="","",FMEA!D12)</f>
        <v/>
      </c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</row>
    <row r="16" spans="1:15">
      <c r="A16" s="17">
        <v>9</v>
      </c>
      <c r="B16" t="str">
        <f>IF(FMEA!D13="","",FMEA!D13)</f>
        <v/>
      </c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</row>
    <row r="17" spans="1:15">
      <c r="A17" s="17">
        <v>10</v>
      </c>
      <c r="B17" t="str">
        <f>IF(FMEA!D14="","",FMEA!D14)</f>
        <v/>
      </c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</row>
    <row r="18" spans="1:15">
      <c r="A18" s="17">
        <v>11</v>
      </c>
      <c r="B18" t="str">
        <f>IF(FMEA!D15="","",FMEA!D15)</f>
        <v/>
      </c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</row>
    <row r="19" spans="1:15">
      <c r="A19" s="17">
        <v>12</v>
      </c>
      <c r="B19" t="str">
        <f>IF(FMEA!D16="","",FMEA!D16)</f>
        <v/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</row>
    <row r="20" spans="1:15">
      <c r="A20" s="17">
        <v>13</v>
      </c>
      <c r="B20" t="str">
        <f>IF(FMEA!D17="","",FMEA!D17)</f>
        <v/>
      </c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</row>
    <row r="21" spans="1:15">
      <c r="A21" s="17">
        <v>14</v>
      </c>
      <c r="B21" t="str">
        <f>IF(FMEA!D18="","",FMEA!D18)</f>
        <v/>
      </c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</row>
    <row r="22" spans="1:15">
      <c r="A22" s="17">
        <v>15</v>
      </c>
      <c r="B22" t="str">
        <f>IF(FMEA!D19="","",FMEA!D19)</f>
        <v/>
      </c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</row>
    <row r="23" spans="1:15">
      <c r="A23" s="17">
        <v>16</v>
      </c>
      <c r="B23" t="str">
        <f>IF(FMEA!D20="","",FMEA!D20)</f>
        <v/>
      </c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</row>
    <row r="24" spans="1:15">
      <c r="A24" s="17">
        <v>17</v>
      </c>
      <c r="B24" t="str">
        <f>IF(FMEA!D21="","",FMEA!D21)</f>
        <v/>
      </c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</row>
    <row r="25" spans="1:15">
      <c r="A25" s="17">
        <v>18</v>
      </c>
      <c r="B25" t="str">
        <f>IF(FMEA!D22="","",FMEA!D22)</f>
        <v/>
      </c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</row>
    <row r="26" spans="1:15">
      <c r="A26" s="17">
        <v>19</v>
      </c>
      <c r="B26" t="str">
        <f>IF(FMEA!D23="","",FMEA!D23)</f>
        <v/>
      </c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</row>
    <row r="27" spans="1:15">
      <c r="A27" s="17">
        <v>20</v>
      </c>
      <c r="B27" t="str">
        <f>IF(FMEA!D24="","",FMEA!D24)</f>
        <v/>
      </c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</row>
    <row r="28" spans="1:15">
      <c r="A28" s="17">
        <v>21</v>
      </c>
      <c r="B28" t="str">
        <f>IF(FMEA!D25="","",FMEA!D25)</f>
        <v/>
      </c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</row>
    <row r="29" spans="1:15">
      <c r="A29" s="17">
        <v>22</v>
      </c>
      <c r="B29" t="str">
        <f>IF(FMEA!D26="","",FMEA!D26)</f>
        <v/>
      </c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</row>
    <row r="30" spans="1:15">
      <c r="A30" s="17">
        <v>23</v>
      </c>
      <c r="B30" t="str">
        <f>IF(FMEA!D27="","",FMEA!D27)</f>
        <v/>
      </c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</row>
    <row r="31" spans="1:15">
      <c r="A31" s="17">
        <v>24</v>
      </c>
      <c r="B31" t="str">
        <f>IF(FMEA!D28="","",FMEA!D28)</f>
        <v/>
      </c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</row>
    <row r="32" spans="1:15">
      <c r="A32" s="17">
        <v>25</v>
      </c>
      <c r="B32" t="str">
        <f>IF(FMEA!D29="","",FMEA!D29)</f>
        <v/>
      </c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</row>
    <row r="33" spans="1:15">
      <c r="A33" s="17">
        <v>26</v>
      </c>
      <c r="B33" t="str">
        <f>IF(FMEA!D30="","",FMEA!D30)</f>
        <v/>
      </c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</row>
    <row r="34" spans="1:15">
      <c r="A34" s="17">
        <v>27</v>
      </c>
      <c r="B34" t="str">
        <f>IF(FMEA!D31="","",FMEA!D31)</f>
        <v/>
      </c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</row>
    <row r="35" spans="1:15">
      <c r="A35" s="17">
        <v>28</v>
      </c>
      <c r="B35" t="str">
        <f>IF(FMEA!D32="","",FMEA!D32)</f>
        <v/>
      </c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</row>
    <row r="36" spans="1:15">
      <c r="A36" s="17">
        <v>29</v>
      </c>
      <c r="B36" t="str">
        <f>IF(FMEA!D33="","",FMEA!D33)</f>
        <v/>
      </c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</row>
    <row r="37" spans="1:15">
      <c r="A37" s="17">
        <v>30</v>
      </c>
      <c r="B37" t="str">
        <f>IF(FMEA!D34="","",FMEA!D34)</f>
        <v/>
      </c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</row>
    <row r="38" spans="1:15">
      <c r="A38" s="17">
        <v>31</v>
      </c>
      <c r="B38" t="str">
        <f>IF(FMEA!D35="","",FMEA!D35)</f>
        <v/>
      </c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</row>
    <row r="39" spans="1:15">
      <c r="A39" s="17">
        <v>32</v>
      </c>
      <c r="B39" t="str">
        <f>IF(FMEA!D36="","",FMEA!D36)</f>
        <v/>
      </c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</row>
    <row r="40" spans="1:15">
      <c r="A40" s="17">
        <v>33</v>
      </c>
      <c r="B40" t="str">
        <f>IF(FMEA!D37="","",FMEA!D37)</f>
        <v/>
      </c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</row>
    <row r="41" spans="1:15">
      <c r="A41" s="17">
        <v>34</v>
      </c>
      <c r="B41" t="str">
        <f>IF(FMEA!D38="","",FMEA!D38)</f>
        <v/>
      </c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</row>
    <row r="42" spans="1:15">
      <c r="A42" s="17">
        <v>35</v>
      </c>
      <c r="B42" t="str">
        <f>IF(FMEA!D39="","",FMEA!D39)</f>
        <v/>
      </c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</row>
    <row r="43" spans="1:15">
      <c r="A43" s="17">
        <v>36</v>
      </c>
      <c r="B43" t="str">
        <f>IF(FMEA!D40="","",FMEA!D40)</f>
        <v/>
      </c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</row>
    <row r="44" spans="1:15">
      <c r="A44" s="17">
        <v>37</v>
      </c>
      <c r="B44" t="str">
        <f>IF(FMEA!D41="","",FMEA!D41)</f>
        <v/>
      </c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</row>
    <row r="45" spans="1:15">
      <c r="A45" s="17">
        <v>38</v>
      </c>
      <c r="B45" t="str">
        <f>IF(FMEA!D42="","",FMEA!D42)</f>
        <v/>
      </c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</row>
    <row r="46" spans="1:15">
      <c r="A46" s="17">
        <v>39</v>
      </c>
      <c r="B46" t="str">
        <f>IF(FMEA!D43="","",FMEA!D43)</f>
        <v/>
      </c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</row>
    <row r="47" spans="1:15">
      <c r="A47" s="17">
        <v>40</v>
      </c>
      <c r="B47" t="str">
        <f>IF(FMEA!D44="","",FMEA!D44)</f>
        <v/>
      </c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</row>
    <row r="48" spans="1:15">
      <c r="A48" s="17">
        <v>41</v>
      </c>
      <c r="B48" t="str">
        <f>IF(FMEA!D45="","",FMEA!D45)</f>
        <v/>
      </c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</row>
    <row r="49" spans="1:15">
      <c r="A49" s="17">
        <v>42</v>
      </c>
      <c r="B49" t="str">
        <f>IF(FMEA!D46="","",FMEA!D46)</f>
        <v/>
      </c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</row>
    <row r="50" spans="1:15">
      <c r="A50" s="17">
        <v>43</v>
      </c>
      <c r="B50" t="str">
        <f>IF(FMEA!D47="","",FMEA!D47)</f>
        <v/>
      </c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</row>
    <row r="51" spans="1:15">
      <c r="A51" s="17">
        <v>44</v>
      </c>
      <c r="B51" t="str">
        <f>IF(FMEA!D48="","",FMEA!D48)</f>
        <v/>
      </c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</row>
    <row r="52" spans="1:15">
      <c r="A52" s="17">
        <v>45</v>
      </c>
      <c r="B52" t="str">
        <f>IF(FMEA!D49="","",FMEA!D49)</f>
        <v/>
      </c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</row>
    <row r="53" spans="1:15">
      <c r="A53" s="17">
        <v>46</v>
      </c>
      <c r="B53" t="str">
        <f>IF(FMEA!D50="","",FMEA!D50)</f>
        <v/>
      </c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</row>
    <row r="54" spans="1:15">
      <c r="A54" s="17">
        <v>47</v>
      </c>
      <c r="B54" t="str">
        <f>IF(FMEA!D51="","",FMEA!D51)</f>
        <v/>
      </c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</row>
    <row r="55" spans="1:15">
      <c r="A55" s="17">
        <v>48</v>
      </c>
      <c r="B55" t="str">
        <f>IF(FMEA!D52="","",FMEA!D52)</f>
        <v/>
      </c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</row>
    <row r="56" spans="1:15">
      <c r="A56" s="17">
        <v>49</v>
      </c>
      <c r="B56" t="str">
        <f>IF(FMEA!D53="","",FMEA!D53)</f>
        <v/>
      </c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</row>
    <row r="57" spans="1:15">
      <c r="A57" s="17">
        <v>50</v>
      </c>
      <c r="B57" t="str">
        <f>IF(FMEA!D54="","",FMEA!D54)</f>
        <v/>
      </c>
    </row>
    <row r="299" spans="1:14" ht="16.5" thickBot="1"/>
    <row r="300" spans="1:14" s="90" customFormat="1" ht="16.5" thickTop="1">
      <c r="A300" s="87" t="s">
        <v>26</v>
      </c>
      <c r="B300" s="88" t="s">
        <v>3</v>
      </c>
      <c r="C300" s="89">
        <v>43101</v>
      </c>
      <c r="D300" s="89">
        <v>43132</v>
      </c>
      <c r="E300" s="89">
        <v>43160</v>
      </c>
      <c r="F300" s="89">
        <v>43191</v>
      </c>
      <c r="G300" s="89">
        <v>43221</v>
      </c>
      <c r="H300" s="89">
        <v>43252</v>
      </c>
      <c r="I300" s="89">
        <v>43282</v>
      </c>
      <c r="J300" s="89">
        <v>43313</v>
      </c>
      <c r="K300" s="89">
        <v>43344</v>
      </c>
      <c r="L300" s="89">
        <v>43374</v>
      </c>
      <c r="M300" s="89">
        <v>43405</v>
      </c>
      <c r="N300" s="89">
        <v>43435</v>
      </c>
    </row>
    <row r="301" spans="1:14" s="90" customFormat="1">
      <c r="A301" s="90">
        <v>1</v>
      </c>
      <c r="B301" s="90" t="str">
        <f>INDEX($B$8:$B$57,A301,1)</f>
        <v>Sistema não funciona</v>
      </c>
      <c r="C301" s="91">
        <f>INDEX($B$8:$O$57,A301,3)</f>
        <v>0</v>
      </c>
      <c r="D301" s="91">
        <f>INDEX($B$8:$O$57,A301,4)</f>
        <v>0</v>
      </c>
      <c r="E301" s="91">
        <f>INDEX($B$8:$O$57,A301,5)</f>
        <v>0</v>
      </c>
      <c r="F301" s="91">
        <f>INDEX($B$8:$O$57,A301,6)</f>
        <v>0</v>
      </c>
      <c r="G301" s="91">
        <f>INDEX($B$8:$O$57,A301,7)</f>
        <v>0</v>
      </c>
      <c r="H301" s="91">
        <f>INDEX($B$8:$O$57,A301,8)</f>
        <v>0</v>
      </c>
      <c r="I301" s="91">
        <f>INDEX($B$8:$O$57,A301,9)</f>
        <v>0</v>
      </c>
      <c r="J301" s="91">
        <f>INDEX($B$8:$O$57,A301,10)</f>
        <v>0</v>
      </c>
      <c r="K301" s="91">
        <f>INDEX($B$8:$O$57,A301,11)</f>
        <v>0</v>
      </c>
      <c r="L301" s="91">
        <f>INDEX($B$8:$O$57,A301,12)</f>
        <v>0</v>
      </c>
      <c r="M301" s="91">
        <f>INDEX($B$8:$O$57,A301,13)</f>
        <v>0</v>
      </c>
      <c r="N301" s="91">
        <f>INDEX($B$8:$O$57,A301,14)</f>
        <v>0</v>
      </c>
    </row>
    <row r="302" spans="1:14" s="86" customFormat="1"/>
    <row r="303" spans="1:14" s="85" customFormat="1"/>
    <row r="306" spans="3:3" ht="16.5" thickBot="1"/>
    <row r="307" spans="3:3" ht="16.5" thickTop="1">
      <c r="C307" s="84"/>
    </row>
  </sheetData>
  <pageMargins left="0.511811024" right="0.511811024" top="0.78740157499999996" bottom="0.78740157499999996" header="0.31496062000000002" footer="0.31496062000000002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6</vt:i4>
      </vt:variant>
    </vt:vector>
  </HeadingPairs>
  <TitlesOfParts>
    <vt:vector size="16" baseType="lpstr">
      <vt:lpstr>Plano</vt:lpstr>
      <vt:lpstr>FMEA</vt:lpstr>
      <vt:lpstr>Matriz de Prioridade</vt:lpstr>
      <vt:lpstr>Tabela de Priorização</vt:lpstr>
      <vt:lpstr>Auxiliar</vt:lpstr>
      <vt:lpstr>AC</vt:lpstr>
      <vt:lpstr>Rel</vt:lpstr>
      <vt:lpstr>Rel_AC</vt:lpstr>
      <vt:lpstr>Dash</vt:lpstr>
      <vt:lpstr>Histórico de Falhas</vt:lpstr>
      <vt:lpstr>AC!Area_de_impressao</vt:lpstr>
      <vt:lpstr>Dash!Area_de_impressao</vt:lpstr>
      <vt:lpstr>FMEA!Area_de_impressao</vt:lpstr>
      <vt:lpstr>'Matriz de Prioridade'!Area_de_impressao</vt:lpstr>
      <vt:lpstr>Rel!Area_de_impressao</vt:lpstr>
      <vt:lpstr>Rel_AC!Area_de_impressao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Marcelo Fontana Brito de Carvalho</cp:lastModifiedBy>
  <cp:lastPrinted>2017-12-04T18:52:15Z</cp:lastPrinted>
  <dcterms:created xsi:type="dcterms:W3CDTF">2017-07-25T18:13:49Z</dcterms:created>
  <dcterms:modified xsi:type="dcterms:W3CDTF">2018-04-13T18:14:23Z</dcterms:modified>
</cp:coreProperties>
</file>